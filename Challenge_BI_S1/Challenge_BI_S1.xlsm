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gurgelmoraes/Desktop/Dev/Portfolio/Chalenge_BI/Challenge_BI_S1/"/>
    </mc:Choice>
  </mc:AlternateContent>
  <xr:revisionPtr revIDLastSave="0" documentId="13_ncr:1_{BF047A8C-B8A4-E147-8DD4-321DF99CA548}" xr6:coauthVersionLast="47" xr6:coauthVersionMax="47" xr10:uidLastSave="{00000000-0000-0000-0000-000000000000}"/>
  <bookViews>
    <workbookView xWindow="-27320" yWindow="920" windowWidth="27320" windowHeight="15360" activeTab="3" xr2:uid="{922D3B44-06EA-EE4C-9160-68E81B3A1E06}"/>
  </bookViews>
  <sheets>
    <sheet name="Dashboard" sheetId="1" r:id="rId1"/>
    <sheet name="Cards" sheetId="4" r:id="rId2"/>
    <sheet name="Novos_Usuários" sheetId="5" r:id="rId3"/>
    <sheet name="Tempo_Leitura" sheetId="6" r:id="rId4"/>
    <sheet name="dados_base" sheetId="3" r:id="rId5"/>
  </sheets>
  <definedNames>
    <definedName name="DadosExternos_1" localSheetId="4" hidden="1">dados_base!$A$1:$L$357</definedName>
    <definedName name="NativeTimeline_Data">#N/A</definedName>
  </definedNames>
  <calcPr calcId="191029"/>
  <pivotCaches>
    <pivotCache cacheId="8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4" l="1" a="1"/>
  <c r="A11" i="4" s="1"/>
  <c r="A4" i="4" a="1"/>
  <c r="A4" i="4" s="1"/>
  <c r="C4" i="4" s="1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M2" i="3"/>
  <c r="M3" i="3"/>
  <c r="M4" i="3"/>
  <c r="M5" i="3"/>
  <c r="N5" i="3" s="1"/>
  <c r="M6" i="3"/>
  <c r="P6" i="3" s="1"/>
  <c r="M7" i="3"/>
  <c r="O7" i="3" s="1"/>
  <c r="M8" i="3"/>
  <c r="M9" i="3"/>
  <c r="O9" i="3" s="1"/>
  <c r="M10" i="3"/>
  <c r="M11" i="3"/>
  <c r="M12" i="3"/>
  <c r="M13" i="3"/>
  <c r="O13" i="3" s="1"/>
  <c r="M14" i="3"/>
  <c r="O14" i="3" s="1"/>
  <c r="M15" i="3"/>
  <c r="M16" i="3"/>
  <c r="M17" i="3"/>
  <c r="M18" i="3"/>
  <c r="M19" i="3"/>
  <c r="M20" i="3"/>
  <c r="M21" i="3"/>
  <c r="O21" i="3" s="1"/>
  <c r="M22" i="3"/>
  <c r="O22" i="3" s="1"/>
  <c r="M23" i="3"/>
  <c r="P23" i="3" s="1"/>
  <c r="M24" i="3"/>
  <c r="M25" i="3"/>
  <c r="M26" i="3"/>
  <c r="M27" i="3"/>
  <c r="M28" i="3"/>
  <c r="M29" i="3"/>
  <c r="P29" i="3" s="1"/>
  <c r="M30" i="3"/>
  <c r="N30" i="3" s="1"/>
  <c r="M31" i="3"/>
  <c r="M32" i="3"/>
  <c r="M33" i="3"/>
  <c r="M34" i="3"/>
  <c r="M35" i="3"/>
  <c r="M36" i="3"/>
  <c r="M37" i="3"/>
  <c r="P37" i="3" s="1"/>
  <c r="M38" i="3"/>
  <c r="P38" i="3" s="1"/>
  <c r="M39" i="3"/>
  <c r="M40" i="3"/>
  <c r="M41" i="3"/>
  <c r="M42" i="3"/>
  <c r="M43" i="3"/>
  <c r="M44" i="3"/>
  <c r="M45" i="3"/>
  <c r="O45" i="3" s="1"/>
  <c r="M46" i="3"/>
  <c r="O46" i="3" s="1"/>
  <c r="M47" i="3"/>
  <c r="O47" i="3" s="1"/>
  <c r="M48" i="3"/>
  <c r="M49" i="3"/>
  <c r="M50" i="3"/>
  <c r="M51" i="3"/>
  <c r="M52" i="3"/>
  <c r="M53" i="3"/>
  <c r="P53" i="3" s="1"/>
  <c r="M54" i="3"/>
  <c r="P54" i="3" s="1"/>
  <c r="M55" i="3"/>
  <c r="N55" i="3" s="1"/>
  <c r="M56" i="3"/>
  <c r="M57" i="3"/>
  <c r="M58" i="3"/>
  <c r="M59" i="3"/>
  <c r="M60" i="3"/>
  <c r="M61" i="3"/>
  <c r="N61" i="3" s="1"/>
  <c r="M62" i="3"/>
  <c r="P62" i="3" s="1"/>
  <c r="M63" i="3"/>
  <c r="N63" i="3" s="1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O77" i="3" s="1"/>
  <c r="M78" i="3"/>
  <c r="O78" i="3" s="1"/>
  <c r="M79" i="3"/>
  <c r="M80" i="3"/>
  <c r="M81" i="3"/>
  <c r="M82" i="3"/>
  <c r="M83" i="3"/>
  <c r="M84" i="3"/>
  <c r="M85" i="3"/>
  <c r="O85" i="3" s="1"/>
  <c r="M86" i="3"/>
  <c r="O86" i="3" s="1"/>
  <c r="M87" i="3"/>
  <c r="P87" i="3" s="1"/>
  <c r="M88" i="3"/>
  <c r="M89" i="3"/>
  <c r="M90" i="3"/>
  <c r="M91" i="3"/>
  <c r="M92" i="3"/>
  <c r="M93" i="3"/>
  <c r="P93" i="3" s="1"/>
  <c r="M94" i="3"/>
  <c r="N94" i="3" s="1"/>
  <c r="M95" i="3"/>
  <c r="M96" i="3"/>
  <c r="M97" i="3"/>
  <c r="M98" i="3"/>
  <c r="M99" i="3"/>
  <c r="M100" i="3"/>
  <c r="M101" i="3"/>
  <c r="P101" i="3" s="1"/>
  <c r="M102" i="3"/>
  <c r="P102" i="3" s="1"/>
  <c r="M103" i="3"/>
  <c r="N103" i="3" s="1"/>
  <c r="M104" i="3"/>
  <c r="M105" i="3"/>
  <c r="M106" i="3"/>
  <c r="M107" i="3"/>
  <c r="M108" i="3"/>
  <c r="M109" i="3"/>
  <c r="O109" i="3" s="1"/>
  <c r="M110" i="3"/>
  <c r="O110" i="3" s="1"/>
  <c r="M111" i="3"/>
  <c r="P111" i="3" s="1"/>
  <c r="M112" i="3"/>
  <c r="M113" i="3"/>
  <c r="M114" i="3"/>
  <c r="M115" i="3"/>
  <c r="M116" i="3"/>
  <c r="M117" i="3"/>
  <c r="P117" i="3" s="1"/>
  <c r="M118" i="3"/>
  <c r="P118" i="3" s="1"/>
  <c r="M119" i="3"/>
  <c r="P119" i="3" s="1"/>
  <c r="M120" i="3"/>
  <c r="M121" i="3"/>
  <c r="M122" i="3"/>
  <c r="M123" i="3"/>
  <c r="M124" i="3"/>
  <c r="M125" i="3"/>
  <c r="N125" i="3" s="1"/>
  <c r="M126" i="3"/>
  <c r="P126" i="3" s="1"/>
  <c r="M127" i="3"/>
  <c r="O127" i="3" s="1"/>
  <c r="M128" i="3"/>
  <c r="M129" i="3"/>
  <c r="M130" i="3"/>
  <c r="M131" i="3"/>
  <c r="M132" i="3"/>
  <c r="M133" i="3"/>
  <c r="N133" i="3" s="1"/>
  <c r="M134" i="3"/>
  <c r="N134" i="3" s="1"/>
  <c r="M135" i="3"/>
  <c r="P135" i="3" s="1"/>
  <c r="M136" i="3"/>
  <c r="M137" i="3"/>
  <c r="M138" i="3"/>
  <c r="M139" i="3"/>
  <c r="M140" i="3"/>
  <c r="M141" i="3"/>
  <c r="O141" i="3" s="1"/>
  <c r="M142" i="3"/>
  <c r="O142" i="3" s="1"/>
  <c r="M143" i="3"/>
  <c r="N143" i="3" s="1"/>
  <c r="M144" i="3"/>
  <c r="M145" i="3"/>
  <c r="M146" i="3"/>
  <c r="M147" i="3"/>
  <c r="M148" i="3"/>
  <c r="M149" i="3"/>
  <c r="O149" i="3" s="1"/>
  <c r="M150" i="3"/>
  <c r="O150" i="3" s="1"/>
  <c r="M151" i="3"/>
  <c r="O151" i="3" s="1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F358" i="3"/>
  <c r="G358" i="3"/>
  <c r="H358" i="3"/>
  <c r="I358" i="3"/>
  <c r="K358" i="3"/>
  <c r="J358" i="3"/>
  <c r="L358" i="3"/>
  <c r="B11" i="4" l="1"/>
  <c r="G8" i="4" s="1"/>
  <c r="B12" i="4"/>
  <c r="B13" i="4"/>
  <c r="B4" i="4"/>
  <c r="B5" i="4"/>
  <c r="B6" i="4"/>
  <c r="C5" i="4"/>
  <c r="C6" i="4"/>
  <c r="P304" i="3"/>
  <c r="O304" i="3"/>
  <c r="N304" i="3"/>
  <c r="P256" i="3"/>
  <c r="O256" i="3"/>
  <c r="N256" i="3"/>
  <c r="P232" i="3"/>
  <c r="O232" i="3"/>
  <c r="N232" i="3"/>
  <c r="P224" i="3"/>
  <c r="O224" i="3"/>
  <c r="N224" i="3"/>
  <c r="P168" i="3"/>
  <c r="O168" i="3"/>
  <c r="N168" i="3"/>
  <c r="P327" i="3"/>
  <c r="O327" i="3"/>
  <c r="N327" i="3"/>
  <c r="O287" i="3"/>
  <c r="P287" i="3"/>
  <c r="N287" i="3"/>
  <c r="P326" i="3"/>
  <c r="O326" i="3"/>
  <c r="N326" i="3"/>
  <c r="P286" i="3"/>
  <c r="O286" i="3"/>
  <c r="N286" i="3"/>
  <c r="P230" i="3"/>
  <c r="N230" i="3"/>
  <c r="O230" i="3"/>
  <c r="N353" i="3"/>
  <c r="P353" i="3"/>
  <c r="O353" i="3"/>
  <c r="N345" i="3"/>
  <c r="O345" i="3"/>
  <c r="P345" i="3"/>
  <c r="P337" i="3"/>
  <c r="N337" i="3"/>
  <c r="O337" i="3"/>
  <c r="P329" i="3"/>
  <c r="N329" i="3"/>
  <c r="O329" i="3"/>
  <c r="N321" i="3"/>
  <c r="O321" i="3"/>
  <c r="P321" i="3"/>
  <c r="N313" i="3"/>
  <c r="P313" i="3"/>
  <c r="O313" i="3"/>
  <c r="P305" i="3"/>
  <c r="O305" i="3"/>
  <c r="N305" i="3"/>
  <c r="O297" i="3"/>
  <c r="P297" i="3"/>
  <c r="N297" i="3"/>
  <c r="O289" i="3"/>
  <c r="N289" i="3"/>
  <c r="P289" i="3"/>
  <c r="N281" i="3"/>
  <c r="O281" i="3"/>
  <c r="P281" i="3"/>
  <c r="P273" i="3"/>
  <c r="N273" i="3"/>
  <c r="O273" i="3"/>
  <c r="P265" i="3"/>
  <c r="N265" i="3"/>
  <c r="O265" i="3"/>
  <c r="N257" i="3"/>
  <c r="O257" i="3"/>
  <c r="P257" i="3"/>
  <c r="O249" i="3"/>
  <c r="N249" i="3"/>
  <c r="P249" i="3"/>
  <c r="P241" i="3"/>
  <c r="O241" i="3"/>
  <c r="N241" i="3"/>
  <c r="O233" i="3"/>
  <c r="P233" i="3"/>
  <c r="N233" i="3"/>
  <c r="O225" i="3"/>
  <c r="N225" i="3"/>
  <c r="P225" i="3"/>
  <c r="O217" i="3"/>
  <c r="N217" i="3"/>
  <c r="P217" i="3"/>
  <c r="P209" i="3"/>
  <c r="N209" i="3"/>
  <c r="O209" i="3"/>
  <c r="P201" i="3"/>
  <c r="N201" i="3"/>
  <c r="O201" i="3"/>
  <c r="N193" i="3"/>
  <c r="P193" i="3"/>
  <c r="O193" i="3"/>
  <c r="O185" i="3"/>
  <c r="N185" i="3"/>
  <c r="P185" i="3"/>
  <c r="P177" i="3"/>
  <c r="O177" i="3"/>
  <c r="N177" i="3"/>
  <c r="O169" i="3"/>
  <c r="P169" i="3"/>
  <c r="N169" i="3"/>
  <c r="O161" i="3"/>
  <c r="N161" i="3"/>
  <c r="P161" i="3"/>
  <c r="N153" i="3"/>
  <c r="O153" i="3"/>
  <c r="P153" i="3"/>
  <c r="P145" i="3"/>
  <c r="N145" i="3"/>
  <c r="O145" i="3"/>
  <c r="P137" i="3"/>
  <c r="N137" i="3"/>
  <c r="O137" i="3"/>
  <c r="N129" i="3"/>
  <c r="O129" i="3"/>
  <c r="P129" i="3"/>
  <c r="O121" i="3"/>
  <c r="N121" i="3"/>
  <c r="P121" i="3"/>
  <c r="P113" i="3"/>
  <c r="O113" i="3"/>
  <c r="N113" i="3"/>
  <c r="O105" i="3"/>
  <c r="P105" i="3"/>
  <c r="N105" i="3"/>
  <c r="O97" i="3"/>
  <c r="N97" i="3"/>
  <c r="P97" i="3"/>
  <c r="O89" i="3"/>
  <c r="N89" i="3"/>
  <c r="P89" i="3"/>
  <c r="P81" i="3"/>
  <c r="N81" i="3"/>
  <c r="O81" i="3"/>
  <c r="P73" i="3"/>
  <c r="O73" i="3"/>
  <c r="N73" i="3"/>
  <c r="N65" i="3"/>
  <c r="P65" i="3"/>
  <c r="O65" i="3"/>
  <c r="N57" i="3"/>
  <c r="O57" i="3"/>
  <c r="P57" i="3"/>
  <c r="P49" i="3"/>
  <c r="O49" i="3"/>
  <c r="N49" i="3"/>
  <c r="O41" i="3"/>
  <c r="P41" i="3"/>
  <c r="N41" i="3"/>
  <c r="O33" i="3"/>
  <c r="N33" i="3"/>
  <c r="P33" i="3"/>
  <c r="N25" i="3"/>
  <c r="O25" i="3"/>
  <c r="P25" i="3"/>
  <c r="P17" i="3"/>
  <c r="N17" i="3"/>
  <c r="O17" i="3"/>
  <c r="P344" i="3"/>
  <c r="O344" i="3"/>
  <c r="N344" i="3"/>
  <c r="P264" i="3"/>
  <c r="O264" i="3"/>
  <c r="N264" i="3"/>
  <c r="P208" i="3"/>
  <c r="O208" i="3"/>
  <c r="N208" i="3"/>
  <c r="P176" i="3"/>
  <c r="O176" i="3"/>
  <c r="N176" i="3"/>
  <c r="P144" i="3"/>
  <c r="O144" i="3"/>
  <c r="N144" i="3"/>
  <c r="P136" i="3"/>
  <c r="O136" i="3"/>
  <c r="N136" i="3"/>
  <c r="P128" i="3"/>
  <c r="O128" i="3"/>
  <c r="N128" i="3"/>
  <c r="P120" i="3"/>
  <c r="O120" i="3"/>
  <c r="N120" i="3"/>
  <c r="P112" i="3"/>
  <c r="O112" i="3"/>
  <c r="N112" i="3"/>
  <c r="P104" i="3"/>
  <c r="O104" i="3"/>
  <c r="N104" i="3"/>
  <c r="P96" i="3"/>
  <c r="O96" i="3"/>
  <c r="N96" i="3"/>
  <c r="P88" i="3"/>
  <c r="O88" i="3"/>
  <c r="N88" i="3"/>
  <c r="P80" i="3"/>
  <c r="N80" i="3"/>
  <c r="O80" i="3"/>
  <c r="P72" i="3"/>
  <c r="O72" i="3"/>
  <c r="N72" i="3"/>
  <c r="P64" i="3"/>
  <c r="N64" i="3"/>
  <c r="O64" i="3"/>
  <c r="P56" i="3"/>
  <c r="O56" i="3"/>
  <c r="N56" i="3"/>
  <c r="P48" i="3"/>
  <c r="O48" i="3"/>
  <c r="N48" i="3"/>
  <c r="P40" i="3"/>
  <c r="O40" i="3"/>
  <c r="N40" i="3"/>
  <c r="P32" i="3"/>
  <c r="O32" i="3"/>
  <c r="N32" i="3"/>
  <c r="P24" i="3"/>
  <c r="N24" i="3"/>
  <c r="O24" i="3"/>
  <c r="P16" i="3"/>
  <c r="N16" i="3"/>
  <c r="O16" i="3"/>
  <c r="P280" i="3"/>
  <c r="O280" i="3"/>
  <c r="N280" i="3"/>
  <c r="P200" i="3"/>
  <c r="O200" i="3"/>
  <c r="N200" i="3"/>
  <c r="O319" i="3"/>
  <c r="P319" i="3"/>
  <c r="N319" i="3"/>
  <c r="P231" i="3"/>
  <c r="O231" i="3"/>
  <c r="N231" i="3"/>
  <c r="P199" i="3"/>
  <c r="O199" i="3"/>
  <c r="N199" i="3"/>
  <c r="O159" i="3"/>
  <c r="P159" i="3"/>
  <c r="N159" i="3"/>
  <c r="P312" i="3"/>
  <c r="O312" i="3"/>
  <c r="N312" i="3"/>
  <c r="P184" i="3"/>
  <c r="O184" i="3"/>
  <c r="N184" i="3"/>
  <c r="P351" i="3"/>
  <c r="O351" i="3"/>
  <c r="N351" i="3"/>
  <c r="O271" i="3"/>
  <c r="P271" i="3"/>
  <c r="N271" i="3"/>
  <c r="O207" i="3"/>
  <c r="P207" i="3"/>
  <c r="N207" i="3"/>
  <c r="P350" i="3"/>
  <c r="O350" i="3"/>
  <c r="N350" i="3"/>
  <c r="O270" i="3"/>
  <c r="P270" i="3"/>
  <c r="N270" i="3"/>
  <c r="P182" i="3"/>
  <c r="O182" i="3"/>
  <c r="N182" i="3"/>
  <c r="P288" i="3"/>
  <c r="O288" i="3"/>
  <c r="N288" i="3"/>
  <c r="P192" i="3"/>
  <c r="O192" i="3"/>
  <c r="N192" i="3"/>
  <c r="P343" i="3"/>
  <c r="N343" i="3"/>
  <c r="O343" i="3"/>
  <c r="P263" i="3"/>
  <c r="O263" i="3"/>
  <c r="N263" i="3"/>
  <c r="P191" i="3"/>
  <c r="O191" i="3"/>
  <c r="N191" i="3"/>
  <c r="P310" i="3"/>
  <c r="O310" i="3"/>
  <c r="N310" i="3"/>
  <c r="O214" i="3"/>
  <c r="P214" i="3"/>
  <c r="N214" i="3"/>
  <c r="P221" i="3"/>
  <c r="O221" i="3"/>
  <c r="N221" i="3"/>
  <c r="P336" i="3"/>
  <c r="O336" i="3"/>
  <c r="N336" i="3"/>
  <c r="P296" i="3"/>
  <c r="O296" i="3"/>
  <c r="N296" i="3"/>
  <c r="P303" i="3"/>
  <c r="O303" i="3"/>
  <c r="N303" i="3"/>
  <c r="P247" i="3"/>
  <c r="O247" i="3"/>
  <c r="N247" i="3"/>
  <c r="P183" i="3"/>
  <c r="O183" i="3"/>
  <c r="N183" i="3"/>
  <c r="P342" i="3"/>
  <c r="N342" i="3"/>
  <c r="O342" i="3"/>
  <c r="N302" i="3"/>
  <c r="P302" i="3"/>
  <c r="O302" i="3"/>
  <c r="P254" i="3"/>
  <c r="O254" i="3"/>
  <c r="N254" i="3"/>
  <c r="P222" i="3"/>
  <c r="O222" i="3"/>
  <c r="N222" i="3"/>
  <c r="P190" i="3"/>
  <c r="O190" i="3"/>
  <c r="N190" i="3"/>
  <c r="P158" i="3"/>
  <c r="O158" i="3"/>
  <c r="N158" i="3"/>
  <c r="O357" i="3"/>
  <c r="P357" i="3"/>
  <c r="N357" i="3"/>
  <c r="O333" i="3"/>
  <c r="P333" i="3"/>
  <c r="N333" i="3"/>
  <c r="P309" i="3"/>
  <c r="O309" i="3"/>
  <c r="N309" i="3"/>
  <c r="P285" i="3"/>
  <c r="N285" i="3"/>
  <c r="O285" i="3"/>
  <c r="P253" i="3"/>
  <c r="O253" i="3"/>
  <c r="N253" i="3"/>
  <c r="O197" i="3"/>
  <c r="P197" i="3"/>
  <c r="N197" i="3"/>
  <c r="P356" i="3"/>
  <c r="O356" i="3"/>
  <c r="N356" i="3"/>
  <c r="P348" i="3"/>
  <c r="O348" i="3"/>
  <c r="N348" i="3"/>
  <c r="P340" i="3"/>
  <c r="O340" i="3"/>
  <c r="N340" i="3"/>
  <c r="P332" i="3"/>
  <c r="O332" i="3"/>
  <c r="N332" i="3"/>
  <c r="P324" i="3"/>
  <c r="O324" i="3"/>
  <c r="N324" i="3"/>
  <c r="O316" i="3"/>
  <c r="P316" i="3"/>
  <c r="N316" i="3"/>
  <c r="O308" i="3"/>
  <c r="P308" i="3"/>
  <c r="N308" i="3"/>
  <c r="O300" i="3"/>
  <c r="P300" i="3"/>
  <c r="N300" i="3"/>
  <c r="O292" i="3"/>
  <c r="P292" i="3"/>
  <c r="N292" i="3"/>
  <c r="O284" i="3"/>
  <c r="P284" i="3"/>
  <c r="N284" i="3"/>
  <c r="O276" i="3"/>
  <c r="P276" i="3"/>
  <c r="N276" i="3"/>
  <c r="O268" i="3"/>
  <c r="P268" i="3"/>
  <c r="N268" i="3"/>
  <c r="O260" i="3"/>
  <c r="P260" i="3"/>
  <c r="N260" i="3"/>
  <c r="O252" i="3"/>
  <c r="P252" i="3"/>
  <c r="N252" i="3"/>
  <c r="O244" i="3"/>
  <c r="P244" i="3"/>
  <c r="N244" i="3"/>
  <c r="O236" i="3"/>
  <c r="P236" i="3"/>
  <c r="N236" i="3"/>
  <c r="O228" i="3"/>
  <c r="P228" i="3"/>
  <c r="N228" i="3"/>
  <c r="O220" i="3"/>
  <c r="P220" i="3"/>
  <c r="N220" i="3"/>
  <c r="O212" i="3"/>
  <c r="P212" i="3"/>
  <c r="N212" i="3"/>
  <c r="O204" i="3"/>
  <c r="P204" i="3"/>
  <c r="N204" i="3"/>
  <c r="O196" i="3"/>
  <c r="P196" i="3"/>
  <c r="N196" i="3"/>
  <c r="O188" i="3"/>
  <c r="P188" i="3"/>
  <c r="N188" i="3"/>
  <c r="O180" i="3"/>
  <c r="P180" i="3"/>
  <c r="N180" i="3"/>
  <c r="O172" i="3"/>
  <c r="P172" i="3"/>
  <c r="N172" i="3"/>
  <c r="O164" i="3"/>
  <c r="P164" i="3"/>
  <c r="N164" i="3"/>
  <c r="P352" i="3"/>
  <c r="O352" i="3"/>
  <c r="N352" i="3"/>
  <c r="P248" i="3"/>
  <c r="O248" i="3"/>
  <c r="N248" i="3"/>
  <c r="P152" i="3"/>
  <c r="O152" i="3"/>
  <c r="N152" i="3"/>
  <c r="P311" i="3"/>
  <c r="O311" i="3"/>
  <c r="N311" i="3"/>
  <c r="O255" i="3"/>
  <c r="P255" i="3"/>
  <c r="N255" i="3"/>
  <c r="P175" i="3"/>
  <c r="N175" i="3"/>
  <c r="O175" i="3"/>
  <c r="P318" i="3"/>
  <c r="N318" i="3"/>
  <c r="O318" i="3"/>
  <c r="O278" i="3"/>
  <c r="P278" i="3"/>
  <c r="N278" i="3"/>
  <c r="O238" i="3"/>
  <c r="N238" i="3"/>
  <c r="P238" i="3"/>
  <c r="P198" i="3"/>
  <c r="O198" i="3"/>
  <c r="N198" i="3"/>
  <c r="P166" i="3"/>
  <c r="O166" i="3"/>
  <c r="N166" i="3"/>
  <c r="P349" i="3"/>
  <c r="O349" i="3"/>
  <c r="N349" i="3"/>
  <c r="O325" i="3"/>
  <c r="P325" i="3"/>
  <c r="N325" i="3"/>
  <c r="P293" i="3"/>
  <c r="O293" i="3"/>
  <c r="N293" i="3"/>
  <c r="O269" i="3"/>
  <c r="P269" i="3"/>
  <c r="N269" i="3"/>
  <c r="P245" i="3"/>
  <c r="O245" i="3"/>
  <c r="N245" i="3"/>
  <c r="P229" i="3"/>
  <c r="N229" i="3"/>
  <c r="O229" i="3"/>
  <c r="O205" i="3"/>
  <c r="P205" i="3"/>
  <c r="N205" i="3"/>
  <c r="P181" i="3"/>
  <c r="O181" i="3"/>
  <c r="N181" i="3"/>
  <c r="N173" i="3"/>
  <c r="O173" i="3"/>
  <c r="P173" i="3"/>
  <c r="P157" i="3"/>
  <c r="N157" i="3"/>
  <c r="O157" i="3"/>
  <c r="O355" i="3"/>
  <c r="N355" i="3"/>
  <c r="P355" i="3"/>
  <c r="P347" i="3"/>
  <c r="O347" i="3"/>
  <c r="N347" i="3"/>
  <c r="O339" i="3"/>
  <c r="P339" i="3"/>
  <c r="N339" i="3"/>
  <c r="O331" i="3"/>
  <c r="P331" i="3"/>
  <c r="N331" i="3"/>
  <c r="O323" i="3"/>
  <c r="N323" i="3"/>
  <c r="P323" i="3"/>
  <c r="P315" i="3"/>
  <c r="O315" i="3"/>
  <c r="N315" i="3"/>
  <c r="P307" i="3"/>
  <c r="O307" i="3"/>
  <c r="N307" i="3"/>
  <c r="N299" i="3"/>
  <c r="P299" i="3"/>
  <c r="O299" i="3"/>
  <c r="O291" i="3"/>
  <c r="N291" i="3"/>
  <c r="P291" i="3"/>
  <c r="P283" i="3"/>
  <c r="N283" i="3"/>
  <c r="O283" i="3"/>
  <c r="P275" i="3"/>
  <c r="N275" i="3"/>
  <c r="O275" i="3"/>
  <c r="O267" i="3"/>
  <c r="P267" i="3"/>
  <c r="N267" i="3"/>
  <c r="O259" i="3"/>
  <c r="N259" i="3"/>
  <c r="P259" i="3"/>
  <c r="P251" i="3"/>
  <c r="O251" i="3"/>
  <c r="N251" i="3"/>
  <c r="P243" i="3"/>
  <c r="O243" i="3"/>
  <c r="N243" i="3"/>
  <c r="O235" i="3"/>
  <c r="N235" i="3"/>
  <c r="P235" i="3"/>
  <c r="N227" i="3"/>
  <c r="P227" i="3"/>
  <c r="O227" i="3"/>
  <c r="P219" i="3"/>
  <c r="O219" i="3"/>
  <c r="N219" i="3"/>
  <c r="P211" i="3"/>
  <c r="N211" i="3"/>
  <c r="O211" i="3"/>
  <c r="O203" i="3"/>
  <c r="P203" i="3"/>
  <c r="N203" i="3"/>
  <c r="O195" i="3"/>
  <c r="N195" i="3"/>
  <c r="P195" i="3"/>
  <c r="P187" i="3"/>
  <c r="O187" i="3"/>
  <c r="N187" i="3"/>
  <c r="P179" i="3"/>
  <c r="O179" i="3"/>
  <c r="N179" i="3"/>
  <c r="N171" i="3"/>
  <c r="O171" i="3"/>
  <c r="P171" i="3"/>
  <c r="O163" i="3"/>
  <c r="N163" i="3"/>
  <c r="P163" i="3"/>
  <c r="P155" i="3"/>
  <c r="N155" i="3"/>
  <c r="O155" i="3"/>
  <c r="P147" i="3"/>
  <c r="N147" i="3"/>
  <c r="O147" i="3"/>
  <c r="O139" i="3"/>
  <c r="P139" i="3"/>
  <c r="N139" i="3"/>
  <c r="O131" i="3"/>
  <c r="N131" i="3"/>
  <c r="P131" i="3"/>
  <c r="P123" i="3"/>
  <c r="O123" i="3"/>
  <c r="N123" i="3"/>
  <c r="P115" i="3"/>
  <c r="O115" i="3"/>
  <c r="N115" i="3"/>
  <c r="O107" i="3"/>
  <c r="N107" i="3"/>
  <c r="P107" i="3"/>
  <c r="N99" i="3"/>
  <c r="P99" i="3"/>
  <c r="O99" i="3"/>
  <c r="P91" i="3"/>
  <c r="O91" i="3"/>
  <c r="N91" i="3"/>
  <c r="P83" i="3"/>
  <c r="N83" i="3"/>
  <c r="O83" i="3"/>
  <c r="O75" i="3"/>
  <c r="P75" i="3"/>
  <c r="N75" i="3"/>
  <c r="O67" i="3"/>
  <c r="N67" i="3"/>
  <c r="P67" i="3"/>
  <c r="P59" i="3"/>
  <c r="O59" i="3"/>
  <c r="N59" i="3"/>
  <c r="P51" i="3"/>
  <c r="O51" i="3"/>
  <c r="N51" i="3"/>
  <c r="N43" i="3"/>
  <c r="O43" i="3"/>
  <c r="P43" i="3"/>
  <c r="O35" i="3"/>
  <c r="P35" i="3"/>
  <c r="N35" i="3"/>
  <c r="P27" i="3"/>
  <c r="N27" i="3"/>
  <c r="O27" i="3"/>
  <c r="P19" i="3"/>
  <c r="O19" i="3"/>
  <c r="N19" i="3"/>
  <c r="O11" i="3"/>
  <c r="P11" i="3"/>
  <c r="N11" i="3"/>
  <c r="P328" i="3"/>
  <c r="O328" i="3"/>
  <c r="N328" i="3"/>
  <c r="P320" i="3"/>
  <c r="O320" i="3"/>
  <c r="N320" i="3"/>
  <c r="P272" i="3"/>
  <c r="O272" i="3"/>
  <c r="N272" i="3"/>
  <c r="P240" i="3"/>
  <c r="O240" i="3"/>
  <c r="N240" i="3"/>
  <c r="P216" i="3"/>
  <c r="O216" i="3"/>
  <c r="N216" i="3"/>
  <c r="P160" i="3"/>
  <c r="O160" i="3"/>
  <c r="N160" i="3"/>
  <c r="P335" i="3"/>
  <c r="O335" i="3"/>
  <c r="N335" i="3"/>
  <c r="P295" i="3"/>
  <c r="O295" i="3"/>
  <c r="N295" i="3"/>
  <c r="O279" i="3"/>
  <c r="P279" i="3"/>
  <c r="N279" i="3"/>
  <c r="P239" i="3"/>
  <c r="O239" i="3"/>
  <c r="N239" i="3"/>
  <c r="O223" i="3"/>
  <c r="P223" i="3"/>
  <c r="N223" i="3"/>
  <c r="O215" i="3"/>
  <c r="P215" i="3"/>
  <c r="N215" i="3"/>
  <c r="P167" i="3"/>
  <c r="O167" i="3"/>
  <c r="N167" i="3"/>
  <c r="O334" i="3"/>
  <c r="P334" i="3"/>
  <c r="N334" i="3"/>
  <c r="P294" i="3"/>
  <c r="O294" i="3"/>
  <c r="N294" i="3"/>
  <c r="P262" i="3"/>
  <c r="O262" i="3"/>
  <c r="N262" i="3"/>
  <c r="P246" i="3"/>
  <c r="O246" i="3"/>
  <c r="N246" i="3"/>
  <c r="O206" i="3"/>
  <c r="P206" i="3"/>
  <c r="N206" i="3"/>
  <c r="N174" i="3"/>
  <c r="O174" i="3"/>
  <c r="P174" i="3"/>
  <c r="O341" i="3"/>
  <c r="P341" i="3"/>
  <c r="N341" i="3"/>
  <c r="P317" i="3"/>
  <c r="O317" i="3"/>
  <c r="N317" i="3"/>
  <c r="N301" i="3"/>
  <c r="P301" i="3"/>
  <c r="O301" i="3"/>
  <c r="O277" i="3"/>
  <c r="P277" i="3"/>
  <c r="N277" i="3"/>
  <c r="O261" i="3"/>
  <c r="P261" i="3"/>
  <c r="N261" i="3"/>
  <c r="O237" i="3"/>
  <c r="N237" i="3"/>
  <c r="P237" i="3"/>
  <c r="O213" i="3"/>
  <c r="P213" i="3"/>
  <c r="N213" i="3"/>
  <c r="P189" i="3"/>
  <c r="O189" i="3"/>
  <c r="N189" i="3"/>
  <c r="P165" i="3"/>
  <c r="O165" i="3"/>
  <c r="N165" i="3"/>
  <c r="N354" i="3"/>
  <c r="P354" i="3"/>
  <c r="O354" i="3"/>
  <c r="P346" i="3"/>
  <c r="N346" i="3"/>
  <c r="O346" i="3"/>
  <c r="P338" i="3"/>
  <c r="N338" i="3"/>
  <c r="O338" i="3"/>
  <c r="P330" i="3"/>
  <c r="O330" i="3"/>
  <c r="N330" i="3"/>
  <c r="N322" i="3"/>
  <c r="O322" i="3"/>
  <c r="P322" i="3"/>
  <c r="O314" i="3"/>
  <c r="P314" i="3"/>
  <c r="N314" i="3"/>
  <c r="P306" i="3"/>
  <c r="O306" i="3"/>
  <c r="N306" i="3"/>
  <c r="O298" i="3"/>
  <c r="N298" i="3"/>
  <c r="P298" i="3"/>
  <c r="O290" i="3"/>
  <c r="N290" i="3"/>
  <c r="P290" i="3"/>
  <c r="P282" i="3"/>
  <c r="N282" i="3"/>
  <c r="O282" i="3"/>
  <c r="P274" i="3"/>
  <c r="N274" i="3"/>
  <c r="O274" i="3"/>
  <c r="P266" i="3"/>
  <c r="N266" i="3"/>
  <c r="O266" i="3"/>
  <c r="O258" i="3"/>
  <c r="N258" i="3"/>
  <c r="P258" i="3"/>
  <c r="O250" i="3"/>
  <c r="P250" i="3"/>
  <c r="N250" i="3"/>
  <c r="P242" i="3"/>
  <c r="O242" i="3"/>
  <c r="N242" i="3"/>
  <c r="O234" i="3"/>
  <c r="N234" i="3"/>
  <c r="P234" i="3"/>
  <c r="N226" i="3"/>
  <c r="P226" i="3"/>
  <c r="O226" i="3"/>
  <c r="P218" i="3"/>
  <c r="O218" i="3"/>
  <c r="N218" i="3"/>
  <c r="P210" i="3"/>
  <c r="N210" i="3"/>
  <c r="O210" i="3"/>
  <c r="P202" i="3"/>
  <c r="N202" i="3"/>
  <c r="O202" i="3"/>
  <c r="O194" i="3"/>
  <c r="N194" i="3"/>
  <c r="P194" i="3"/>
  <c r="O186" i="3"/>
  <c r="P186" i="3"/>
  <c r="N186" i="3"/>
  <c r="P178" i="3"/>
  <c r="O178" i="3"/>
  <c r="N178" i="3"/>
  <c r="O170" i="3"/>
  <c r="N170" i="3"/>
  <c r="P170" i="3"/>
  <c r="O162" i="3"/>
  <c r="N162" i="3"/>
  <c r="P162" i="3"/>
  <c r="P154" i="3"/>
  <c r="N154" i="3"/>
  <c r="O154" i="3"/>
  <c r="P146" i="3"/>
  <c r="N146" i="3"/>
  <c r="O146" i="3"/>
  <c r="P138" i="3"/>
  <c r="N138" i="3"/>
  <c r="O138" i="3"/>
  <c r="O130" i="3"/>
  <c r="N130" i="3"/>
  <c r="P130" i="3"/>
  <c r="O122" i="3"/>
  <c r="P122" i="3"/>
  <c r="N122" i="3"/>
  <c r="P114" i="3"/>
  <c r="O114" i="3"/>
  <c r="N114" i="3"/>
  <c r="O106" i="3"/>
  <c r="N106" i="3"/>
  <c r="P106" i="3"/>
  <c r="N98" i="3"/>
  <c r="P98" i="3"/>
  <c r="O98" i="3"/>
  <c r="P90" i="3"/>
  <c r="O90" i="3"/>
  <c r="N90" i="3"/>
  <c r="P82" i="3"/>
  <c r="N82" i="3"/>
  <c r="O82" i="3"/>
  <c r="P74" i="3"/>
  <c r="O74" i="3"/>
  <c r="N74" i="3"/>
  <c r="O66" i="3"/>
  <c r="N66" i="3"/>
  <c r="P66" i="3"/>
  <c r="O58" i="3"/>
  <c r="P58" i="3"/>
  <c r="N58" i="3"/>
  <c r="P50" i="3"/>
  <c r="O50" i="3"/>
  <c r="N50" i="3"/>
  <c r="O42" i="3"/>
  <c r="N42" i="3"/>
  <c r="P42" i="3"/>
  <c r="O34" i="3"/>
  <c r="P34" i="3"/>
  <c r="N34" i="3"/>
  <c r="P26" i="3"/>
  <c r="O26" i="3"/>
  <c r="N26" i="3"/>
  <c r="P18" i="3"/>
  <c r="O18" i="3"/>
  <c r="N18" i="3"/>
  <c r="P10" i="3"/>
  <c r="N10" i="3"/>
  <c r="O10" i="3"/>
  <c r="O156" i="3"/>
  <c r="P156" i="3"/>
  <c r="O148" i="3"/>
  <c r="P148" i="3"/>
  <c r="O140" i="3"/>
  <c r="P140" i="3"/>
  <c r="O132" i="3"/>
  <c r="P132" i="3"/>
  <c r="O124" i="3"/>
  <c r="P124" i="3"/>
  <c r="O116" i="3"/>
  <c r="P116" i="3"/>
  <c r="O108" i="3"/>
  <c r="P108" i="3"/>
  <c r="O100" i="3"/>
  <c r="P100" i="3"/>
  <c r="O92" i="3"/>
  <c r="P92" i="3"/>
  <c r="O84" i="3"/>
  <c r="P84" i="3"/>
  <c r="O76" i="3"/>
  <c r="P76" i="3"/>
  <c r="O68" i="3"/>
  <c r="P68" i="3"/>
  <c r="O60" i="3"/>
  <c r="P60" i="3"/>
  <c r="O52" i="3"/>
  <c r="P52" i="3"/>
  <c r="O44" i="3"/>
  <c r="P44" i="3"/>
  <c r="O36" i="3"/>
  <c r="P36" i="3"/>
  <c r="O28" i="3"/>
  <c r="P28" i="3"/>
  <c r="O20" i="3"/>
  <c r="P20" i="3"/>
  <c r="O12" i="3"/>
  <c r="P12" i="3"/>
  <c r="O4" i="3"/>
  <c r="P4" i="3"/>
  <c r="N86" i="3"/>
  <c r="N77" i="3"/>
  <c r="N68" i="3"/>
  <c r="N37" i="3"/>
  <c r="N12" i="3"/>
  <c r="O102" i="3"/>
  <c r="O29" i="3"/>
  <c r="P110" i="3"/>
  <c r="P46" i="3"/>
  <c r="P3" i="3"/>
  <c r="O3" i="3"/>
  <c r="N151" i="3"/>
  <c r="N135" i="3"/>
  <c r="N127" i="3"/>
  <c r="N119" i="3"/>
  <c r="N111" i="3"/>
  <c r="N85" i="3"/>
  <c r="N76" i="3"/>
  <c r="N46" i="3"/>
  <c r="N36" i="3"/>
  <c r="N22" i="3"/>
  <c r="O119" i="3"/>
  <c r="O101" i="3"/>
  <c r="P151" i="3"/>
  <c r="P109" i="3"/>
  <c r="P45" i="3"/>
  <c r="M358" i="3"/>
  <c r="P358" i="3" s="1"/>
  <c r="P2" i="3"/>
  <c r="O2" i="3"/>
  <c r="N150" i="3"/>
  <c r="N142" i="3"/>
  <c r="N126" i="3"/>
  <c r="N118" i="3"/>
  <c r="N110" i="3"/>
  <c r="N102" i="3"/>
  <c r="N93" i="3"/>
  <c r="N84" i="3"/>
  <c r="N45" i="3"/>
  <c r="N21" i="3"/>
  <c r="O118" i="3"/>
  <c r="O63" i="3"/>
  <c r="P150" i="3"/>
  <c r="P86" i="3"/>
  <c r="P22" i="3"/>
  <c r="P9" i="3"/>
  <c r="N9" i="3"/>
  <c r="N149" i="3"/>
  <c r="N141" i="3"/>
  <c r="N117" i="3"/>
  <c r="N109" i="3"/>
  <c r="N101" i="3"/>
  <c r="N92" i="3"/>
  <c r="N54" i="3"/>
  <c r="N44" i="3"/>
  <c r="N20" i="3"/>
  <c r="N6" i="3"/>
  <c r="O135" i="3"/>
  <c r="O117" i="3"/>
  <c r="O62" i="3"/>
  <c r="O6" i="3"/>
  <c r="P149" i="3"/>
  <c r="P127" i="3"/>
  <c r="P85" i="3"/>
  <c r="P63" i="3"/>
  <c r="P21" i="3"/>
  <c r="P8" i="3"/>
  <c r="O8" i="3"/>
  <c r="N8" i="3"/>
  <c r="N156" i="3"/>
  <c r="N148" i="3"/>
  <c r="N140" i="3"/>
  <c r="N132" i="3"/>
  <c r="N124" i="3"/>
  <c r="N116" i="3"/>
  <c r="N108" i="3"/>
  <c r="N100" i="3"/>
  <c r="N53" i="3"/>
  <c r="O111" i="3"/>
  <c r="O93" i="3"/>
  <c r="O38" i="3"/>
  <c r="P142" i="3"/>
  <c r="P78" i="3"/>
  <c r="P14" i="3"/>
  <c r="O143" i="3"/>
  <c r="P143" i="3"/>
  <c r="P103" i="3"/>
  <c r="O103" i="3"/>
  <c r="O95" i="3"/>
  <c r="N95" i="3"/>
  <c r="N87" i="3"/>
  <c r="O87" i="3"/>
  <c r="N79" i="3"/>
  <c r="O79" i="3"/>
  <c r="P79" i="3"/>
  <c r="N71" i="3"/>
  <c r="P71" i="3"/>
  <c r="N47" i="3"/>
  <c r="P47" i="3"/>
  <c r="N39" i="3"/>
  <c r="P39" i="3"/>
  <c r="O39" i="3"/>
  <c r="O31" i="3"/>
  <c r="N31" i="3"/>
  <c r="N23" i="3"/>
  <c r="O23" i="3"/>
  <c r="N15" i="3"/>
  <c r="O15" i="3"/>
  <c r="P15" i="3"/>
  <c r="N7" i="3"/>
  <c r="P7" i="3"/>
  <c r="N62" i="3"/>
  <c r="N52" i="3"/>
  <c r="N29" i="3"/>
  <c r="N4" i="3"/>
  <c r="O55" i="3"/>
  <c r="O37" i="3"/>
  <c r="P141" i="3"/>
  <c r="P77" i="3"/>
  <c r="P55" i="3"/>
  <c r="P13" i="3"/>
  <c r="P134" i="3"/>
  <c r="O134" i="3"/>
  <c r="P94" i="3"/>
  <c r="O94" i="3"/>
  <c r="P70" i="3"/>
  <c r="O70" i="3"/>
  <c r="P30" i="3"/>
  <c r="O30" i="3"/>
  <c r="N70" i="3"/>
  <c r="N28" i="3"/>
  <c r="N14" i="3"/>
  <c r="N3" i="3"/>
  <c r="O54" i="3"/>
  <c r="O133" i="3"/>
  <c r="P133" i="3"/>
  <c r="P125" i="3"/>
  <c r="O125" i="3"/>
  <c r="O69" i="3"/>
  <c r="P69" i="3"/>
  <c r="P61" i="3"/>
  <c r="O61" i="3"/>
  <c r="P5" i="3"/>
  <c r="O5" i="3"/>
  <c r="N78" i="3"/>
  <c r="N69" i="3"/>
  <c r="N60" i="3"/>
  <c r="N38" i="3"/>
  <c r="N13" i="3"/>
  <c r="N2" i="3"/>
  <c r="O126" i="3"/>
  <c r="O71" i="3"/>
  <c r="O53" i="3"/>
  <c r="P95" i="3"/>
  <c r="P31" i="3"/>
  <c r="G2" i="4" l="1"/>
  <c r="D5" i="4"/>
  <c r="G1" i="4"/>
  <c r="O358" i="3"/>
  <c r="N358" i="3"/>
  <c r="D4" i="4" l="1"/>
  <c r="C12" i="4"/>
  <c r="D6" i="4"/>
  <c r="C13" i="4"/>
  <c r="C11" i="4"/>
  <c r="G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4138F0-EF1A-694F-B27E-3D086F2500DC}" keepAlive="1" name="Consulta - dados_base" description="Conexão com a consulta 'dados_base' na pasta de trabalho." type="5" refreshedVersion="8" background="1" saveData="1">
    <dbPr connection="Provider=Microsoft.Mashup.OleDb.1;Data Source=$Workbook$;Location=dados_base;Extended Properties=&quot;&quot;" command="SELECT * FROM [dados_bas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<sst xmlns="http://schemas.openxmlformats.org/spreadsheetml/2006/main" count="1117" uniqueCount="43">
  <si>
    <t>Article URL</t>
  </si>
  <si>
    <t>Nome do artigo</t>
  </si>
  <si>
    <t>Categoria</t>
  </si>
  <si>
    <t>Campanha</t>
  </si>
  <si>
    <t>Data</t>
  </si>
  <si>
    <t>Visitas Diretas</t>
  </si>
  <si>
    <t>Novos usuários únicos</t>
  </si>
  <si>
    <t>Clicks pagos</t>
  </si>
  <si>
    <t>Tempo de leitura (minutos)</t>
  </si>
  <si>
    <t>Clicks redes sociais</t>
  </si>
  <si>
    <t>Vezes pesquisados</t>
  </si>
  <si>
    <t>Visualizações</t>
  </si>
  <si>
    <t>Article_1</t>
  </si>
  <si>
    <t>Recomendações de experiência do usuário</t>
  </si>
  <si>
    <t>UX</t>
  </si>
  <si>
    <t>Article_10</t>
  </si>
  <si>
    <t>Análise: Expectativa vs. Realidade</t>
  </si>
  <si>
    <t>Gestão</t>
  </si>
  <si>
    <t>Article_100</t>
  </si>
  <si>
    <t>A próxima grande novidade na inteligência aumentada</t>
  </si>
  <si>
    <t>Data Science</t>
  </si>
  <si>
    <t>Total</t>
  </si>
  <si>
    <t>% Clicks Pagos</t>
  </si>
  <si>
    <t>% Clicks Redes Sociais</t>
  </si>
  <si>
    <t>CTR</t>
  </si>
  <si>
    <t>Total de Clicks</t>
  </si>
  <si>
    <t>% de vezes pesquisados</t>
  </si>
  <si>
    <t>% de visitas diretas</t>
  </si>
  <si>
    <t>Quantidade de visualizações por artigo</t>
  </si>
  <si>
    <t>Artigos</t>
  </si>
  <si>
    <t>Artigo mais visualizado</t>
  </si>
  <si>
    <t>Média de visualizações</t>
  </si>
  <si>
    <t>Acima ou abaixo da média?</t>
  </si>
  <si>
    <t>Quantidade de visualizações por categoria</t>
  </si>
  <si>
    <t>Categoria mais visualizada</t>
  </si>
  <si>
    <t>Evolução de novos usuários</t>
  </si>
  <si>
    <t>Artigo</t>
  </si>
  <si>
    <t>Total Geral</t>
  </si>
  <si>
    <t>Rótulos de Linha</t>
  </si>
  <si>
    <t>Novos usuários</t>
  </si>
  <si>
    <t>Total de novos usuários</t>
  </si>
  <si>
    <t>Tempo de leitura por categoria</t>
  </si>
  <si>
    <t>Soma de Tempo de leitura (minutos)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</si>
</sst>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9" fontId="0" fillId="0" borderId="0" xfId="2" applyFont="1"/>
    <xf numFmtId="10" fontId="0" fillId="0" borderId="0" xfId="2" applyNumberFormat="1" applyFont="1"/>
    <xf numFmtId="10" fontId="0" fillId="0" borderId="0" xfId="1" applyNumberFormat="1" applyFont="1"/>
    <xf numFmtId="10" fontId="1" fillId="0" borderId="0" xfId="2" applyNumberFormat="1" applyFont="1"/>
    <xf numFmtId="0" fontId="0" fillId="0" borderId="0" xfId="0" applyAlignment="1">
      <alignment horizontal="center" vertical="center" wrapText="1"/>
    </xf>
    <xf numFmtId="164" fontId="0" fillId="0" borderId="0" xfId="1" applyNumberFormat="1" applyFont="1" applyAlignment="1">
      <alignment horizontal="center"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64" fontId="0" fillId="0" borderId="8" xfId="0" applyNumberFormat="1" applyBorder="1"/>
    <xf numFmtId="0" fontId="0" fillId="0" borderId="10" xfId="0" applyBorder="1"/>
    <xf numFmtId="0" fontId="0" fillId="0" borderId="11" xfId="0" applyBorder="1"/>
    <xf numFmtId="0" fontId="0" fillId="0" borderId="4" xfId="0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164" fontId="0" fillId="0" borderId="13" xfId="1" applyNumberFormat="1" applyFont="1" applyBorder="1"/>
    <xf numFmtId="164" fontId="0" fillId="0" borderId="12" xfId="1" applyNumberFormat="1" applyFont="1" applyBorder="1"/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235F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</c:pivotFmt>
      <c:pivotFmt>
        <c:idx val="484"/>
      </c:pivotFmt>
      <c:pivotFmt>
        <c:idx val="485"/>
      </c:pivotFmt>
      <c:pivotFmt>
        <c:idx val="486"/>
      </c:pivotFmt>
      <c:pivotFmt>
        <c:idx val="487"/>
      </c:pivotFmt>
      <c:pivotFmt>
        <c:idx val="488"/>
      </c:pivotFmt>
      <c:pivotFmt>
        <c:idx val="489"/>
      </c:pivotFmt>
      <c:pivotFmt>
        <c:idx val="490"/>
      </c:pivotFmt>
      <c:pivotFmt>
        <c:idx val="491"/>
      </c:pivotFmt>
      <c:pivotFmt>
        <c:idx val="492"/>
      </c:pivotFmt>
      <c:pivotFmt>
        <c:idx val="493"/>
      </c:pivotFmt>
      <c:pivotFmt>
        <c:idx val="494"/>
      </c:pivotFmt>
      <c:pivotFmt>
        <c:idx val="495"/>
      </c:pivotFmt>
      <c:pivotFmt>
        <c:idx val="496"/>
      </c:pivotFmt>
      <c:pivotFmt>
        <c:idx val="497"/>
      </c:pivotFmt>
      <c:pivotFmt>
        <c:idx val="498"/>
      </c:pivotFmt>
      <c:pivotFmt>
        <c:idx val="499"/>
      </c:pivotFmt>
      <c:pivotFmt>
        <c:idx val="500"/>
      </c:pivotFmt>
      <c:pivotFmt>
        <c:idx val="501"/>
      </c:pivotFmt>
      <c:pivotFmt>
        <c:idx val="502"/>
      </c:pivotFmt>
      <c:pivotFmt>
        <c:idx val="503"/>
      </c:pivotFmt>
      <c:pivotFmt>
        <c:idx val="504"/>
      </c:pivotFmt>
      <c:pivotFmt>
        <c:idx val="505"/>
      </c:pivotFmt>
      <c:pivotFmt>
        <c:idx val="506"/>
      </c:pivotFmt>
      <c:pivotFmt>
        <c:idx val="507"/>
      </c:pivotFmt>
      <c:pivotFmt>
        <c:idx val="508"/>
      </c:pivotFmt>
      <c:pivotFmt>
        <c:idx val="509"/>
      </c:pivotFmt>
      <c:pivotFmt>
        <c:idx val="510"/>
      </c:pivotFmt>
      <c:pivotFmt>
        <c:idx val="511"/>
      </c:pivotFmt>
      <c:pivotFmt>
        <c:idx val="512"/>
      </c:pivotFmt>
      <c:pivotFmt>
        <c:idx val="513"/>
      </c:pivotFmt>
      <c:pivotFmt>
        <c:idx val="514"/>
      </c:pivotFmt>
      <c:pivotFmt>
        <c:idx val="515"/>
      </c:pivotFmt>
      <c:pivotFmt>
        <c:idx val="516"/>
      </c:pivotFmt>
      <c:pivotFmt>
        <c:idx val="517"/>
      </c:pivotFmt>
      <c:pivotFmt>
        <c:idx val="518"/>
      </c:pivotFmt>
      <c:pivotFmt>
        <c:idx val="519"/>
      </c:pivotFmt>
      <c:pivotFmt>
        <c:idx val="520"/>
      </c:pivotFmt>
      <c:pivotFmt>
        <c:idx val="521"/>
      </c:pivotFmt>
      <c:pivotFmt>
        <c:idx val="522"/>
      </c:pivotFmt>
      <c:pivotFmt>
        <c:idx val="523"/>
      </c:pivotFmt>
      <c:pivotFmt>
        <c:idx val="524"/>
      </c:pivotFmt>
      <c:pivotFmt>
        <c:idx val="525"/>
      </c:pivotFmt>
      <c:pivotFmt>
        <c:idx val="526"/>
      </c:pivotFmt>
      <c:pivotFmt>
        <c:idx val="527"/>
      </c:pivotFmt>
      <c:pivotFmt>
        <c:idx val="528"/>
      </c:pivotFmt>
      <c:pivotFmt>
        <c:idx val="529"/>
      </c:pivotFmt>
      <c:pivotFmt>
        <c:idx val="530"/>
      </c:pivotFmt>
      <c:pivotFmt>
        <c:idx val="531"/>
      </c:pivotFmt>
      <c:pivotFmt>
        <c:idx val="532"/>
      </c:pivotFmt>
      <c:pivotFmt>
        <c:idx val="533"/>
      </c:pivotFmt>
      <c:pivotFmt>
        <c:idx val="534"/>
      </c:pivotFmt>
      <c:pivotFmt>
        <c:idx val="535"/>
      </c:pivotFmt>
      <c:pivotFmt>
        <c:idx val="536"/>
      </c:pivotFmt>
      <c:pivotFmt>
        <c:idx val="537"/>
      </c:pivotFmt>
      <c:pivotFmt>
        <c:idx val="538"/>
      </c:pivotFmt>
      <c:pivotFmt>
        <c:idx val="539"/>
      </c:pivotFmt>
      <c:pivotFmt>
        <c:idx val="540"/>
      </c:pivotFmt>
      <c:pivotFmt>
        <c:idx val="541"/>
      </c:pivotFmt>
      <c:pivotFmt>
        <c:idx val="542"/>
      </c:pivotFmt>
      <c:pivotFmt>
        <c:idx val="543"/>
      </c:pivotFmt>
      <c:pivotFmt>
        <c:idx val="544"/>
      </c:pivotFmt>
      <c:pivotFmt>
        <c:idx val="545"/>
      </c:pivotFmt>
      <c:pivotFmt>
        <c:idx val="546"/>
      </c:pivotFmt>
      <c:pivotFmt>
        <c:idx val="547"/>
      </c:pivotFmt>
      <c:pivotFmt>
        <c:idx val="548"/>
      </c:pivotFmt>
      <c:pivotFmt>
        <c:idx val="549"/>
      </c:pivotFmt>
      <c:pivotFmt>
        <c:idx val="550"/>
      </c:pivotFmt>
      <c:pivotFmt>
        <c:idx val="551"/>
      </c:pivotFmt>
      <c:pivotFmt>
        <c:idx val="552"/>
      </c:pivotFmt>
      <c:pivotFmt>
        <c:idx val="553"/>
      </c:pivotFmt>
      <c:pivotFmt>
        <c:idx val="554"/>
      </c:pivotFmt>
      <c:pivotFmt>
        <c:idx val="555"/>
      </c:pivotFmt>
      <c:pivotFmt>
        <c:idx val="556"/>
      </c:pivotFmt>
      <c:pivotFmt>
        <c:idx val="557"/>
      </c:pivotFmt>
      <c:pivotFmt>
        <c:idx val="558"/>
      </c:pivotFmt>
      <c:pivotFmt>
        <c:idx val="559"/>
      </c:pivotFmt>
      <c:pivotFmt>
        <c:idx val="560"/>
      </c:pivotFmt>
      <c:pivotFmt>
        <c:idx val="561"/>
      </c:pivotFmt>
      <c:pivotFmt>
        <c:idx val="562"/>
      </c:pivotFmt>
      <c:pivotFmt>
        <c:idx val="563"/>
      </c:pivotFmt>
      <c:pivotFmt>
        <c:idx val="564"/>
      </c:pivotFmt>
      <c:pivotFmt>
        <c:idx val="565"/>
      </c:pivotFmt>
      <c:pivotFmt>
        <c:idx val="566"/>
      </c:pivotFmt>
      <c:pivotFmt>
        <c:idx val="567"/>
      </c:pivotFmt>
      <c:pivotFmt>
        <c:idx val="568"/>
      </c:pivotFmt>
      <c:pivotFmt>
        <c:idx val="569"/>
      </c:pivotFmt>
      <c:pivotFmt>
        <c:idx val="570"/>
      </c:pivotFmt>
      <c:pivotFmt>
        <c:idx val="571"/>
      </c:pivotFmt>
      <c:pivotFmt>
        <c:idx val="572"/>
      </c:pivotFmt>
      <c:pivotFmt>
        <c:idx val="573"/>
      </c:pivotFmt>
      <c:pivotFmt>
        <c:idx val="574"/>
      </c:pivotFmt>
      <c:pivotFmt>
        <c:idx val="575"/>
      </c:pivotFmt>
      <c:pivotFmt>
        <c:idx val="576"/>
      </c:pivotFmt>
      <c:pivotFmt>
        <c:idx val="577"/>
      </c:pivotFmt>
      <c:pivotFmt>
        <c:idx val="578"/>
      </c:pivotFmt>
      <c:pivotFmt>
        <c:idx val="579"/>
      </c:pivotFmt>
      <c:pivotFmt>
        <c:idx val="580"/>
      </c:pivotFmt>
      <c:pivotFmt>
        <c:idx val="581"/>
      </c:pivotFmt>
      <c:pivotFmt>
        <c:idx val="582"/>
      </c:pivotFmt>
      <c:pivotFmt>
        <c:idx val="583"/>
      </c:pivotFmt>
      <c:pivotFmt>
        <c:idx val="584"/>
      </c:pivotFmt>
      <c:pivotFmt>
        <c:idx val="585"/>
      </c:pivotFmt>
      <c:pivotFmt>
        <c:idx val="586"/>
      </c:pivotFmt>
      <c:pivotFmt>
        <c:idx val="587"/>
      </c:pivotFmt>
      <c:pivotFmt>
        <c:idx val="588"/>
      </c:pivotFmt>
      <c:pivotFmt>
        <c:idx val="589"/>
      </c:pivotFmt>
      <c:pivotFmt>
        <c:idx val="590"/>
      </c:pivotFmt>
      <c:pivotFmt>
        <c:idx val="591"/>
      </c:pivotFmt>
      <c:pivotFmt>
        <c:idx val="592"/>
      </c:pivotFmt>
      <c:pivotFmt>
        <c:idx val="593"/>
      </c:pivotFmt>
      <c:pivotFmt>
        <c:idx val="594"/>
      </c:pivotFmt>
      <c:pivotFmt>
        <c:idx val="595"/>
      </c:pivotFmt>
      <c:pivotFmt>
        <c:idx val="596"/>
      </c:pivotFmt>
      <c:pivotFmt>
        <c:idx val="597"/>
      </c:pivotFmt>
      <c:pivotFmt>
        <c:idx val="598"/>
      </c:pivotFmt>
      <c:pivotFmt>
        <c:idx val="599"/>
      </c:pivotFmt>
      <c:pivotFmt>
        <c:idx val="600"/>
      </c:pivotFmt>
      <c:pivotFmt>
        <c:idx val="601"/>
      </c:pivotFmt>
      <c:pivotFmt>
        <c:idx val="602"/>
      </c:pivotFmt>
      <c:pivotFmt>
        <c:idx val="603"/>
      </c:pivotFmt>
      <c:pivotFmt>
        <c:idx val="604"/>
      </c:pivotFmt>
      <c:pivotFmt>
        <c:idx val="605"/>
      </c:pivotFmt>
      <c:pivotFmt>
        <c:idx val="606"/>
      </c:pivotFmt>
      <c:pivotFmt>
        <c:idx val="607"/>
      </c:pivotFmt>
      <c:pivotFmt>
        <c:idx val="608"/>
      </c:pivotFmt>
      <c:pivotFmt>
        <c:idx val="609"/>
      </c:pivotFmt>
      <c:pivotFmt>
        <c:idx val="610"/>
      </c:pivotFmt>
      <c:pivotFmt>
        <c:idx val="611"/>
      </c:pivotFmt>
      <c:pivotFmt>
        <c:idx val="612"/>
      </c:pivotFmt>
      <c:pivotFmt>
        <c:idx val="613"/>
      </c:pivotFmt>
      <c:pivotFmt>
        <c:idx val="614"/>
      </c:pivotFmt>
      <c:pivotFmt>
        <c:idx val="615"/>
      </c:pivotFmt>
      <c:pivotFmt>
        <c:idx val="616"/>
      </c:pivotFmt>
      <c:pivotFmt>
        <c:idx val="617"/>
      </c:pivotFmt>
      <c:pivotFmt>
        <c:idx val="618"/>
      </c:pivotFmt>
      <c:pivotFmt>
        <c:idx val="619"/>
      </c:pivotFmt>
      <c:pivotFmt>
        <c:idx val="620"/>
      </c:pivotFmt>
      <c:pivotFmt>
        <c:idx val="621"/>
      </c:pivotFmt>
      <c:pivotFmt>
        <c:idx val="622"/>
      </c:pivotFmt>
      <c:pivotFmt>
        <c:idx val="623"/>
      </c:pivotFmt>
      <c:pivotFmt>
        <c:idx val="624"/>
      </c:pivotFmt>
      <c:pivotFmt>
        <c:idx val="625"/>
      </c:pivotFmt>
      <c:pivotFmt>
        <c:idx val="626"/>
      </c:pivotFmt>
      <c:pivotFmt>
        <c:idx val="627"/>
      </c:pivotFmt>
      <c:pivotFmt>
        <c:idx val="628"/>
      </c:pivotFmt>
      <c:pivotFmt>
        <c:idx val="629"/>
      </c:pivotFmt>
      <c:pivotFmt>
        <c:idx val="630"/>
      </c:pivotFmt>
      <c:pivotFmt>
        <c:idx val="631"/>
      </c:pivotFmt>
      <c:pivotFmt>
        <c:idx val="632"/>
      </c:pivotFmt>
      <c:pivotFmt>
        <c:idx val="633"/>
      </c:pivotFmt>
      <c:pivotFmt>
        <c:idx val="634"/>
      </c:pivotFmt>
      <c:pivotFmt>
        <c:idx val="635"/>
      </c:pivotFmt>
      <c:pivotFmt>
        <c:idx val="636"/>
      </c:pivotFmt>
      <c:pivotFmt>
        <c:idx val="637"/>
      </c:pivotFmt>
      <c:pivotFmt>
        <c:idx val="638"/>
      </c:pivotFmt>
      <c:pivotFmt>
        <c:idx val="639"/>
      </c:pivotFmt>
      <c:pivotFmt>
        <c:idx val="640"/>
      </c:pivotFmt>
      <c:pivotFmt>
        <c:idx val="641"/>
      </c:pivotFmt>
      <c:pivotFmt>
        <c:idx val="642"/>
      </c:pivotFmt>
      <c:pivotFmt>
        <c:idx val="643"/>
      </c:pivotFmt>
      <c:pivotFmt>
        <c:idx val="644"/>
      </c:pivotFmt>
      <c:pivotFmt>
        <c:idx val="645"/>
      </c:pivotFmt>
      <c:pivotFmt>
        <c:idx val="646"/>
      </c:pivotFmt>
      <c:pivotFmt>
        <c:idx val="647"/>
      </c:pivotFmt>
      <c:pivotFmt>
        <c:idx val="648"/>
      </c:pivotFmt>
      <c:pivotFmt>
        <c:idx val="649"/>
      </c:pivotFmt>
      <c:pivotFmt>
        <c:idx val="650"/>
      </c:pivotFmt>
      <c:pivotFmt>
        <c:idx val="651"/>
      </c:pivotFmt>
      <c:pivotFmt>
        <c:idx val="652"/>
      </c:pivotFmt>
      <c:pivotFmt>
        <c:idx val="653"/>
      </c:pivotFmt>
      <c:pivotFmt>
        <c:idx val="654"/>
      </c:pivotFmt>
      <c:pivotFmt>
        <c:idx val="655"/>
      </c:pivotFmt>
      <c:pivotFmt>
        <c:idx val="656"/>
      </c:pivotFmt>
      <c:pivotFmt>
        <c:idx val="657"/>
      </c:pivotFmt>
      <c:pivotFmt>
        <c:idx val="658"/>
      </c:pivotFmt>
      <c:pivotFmt>
        <c:idx val="659"/>
      </c:pivotFmt>
      <c:pivotFmt>
        <c:idx val="660"/>
      </c:pivotFmt>
      <c:pivotFmt>
        <c:idx val="661"/>
      </c:pivotFmt>
      <c:pivotFmt>
        <c:idx val="662"/>
      </c:pivotFmt>
      <c:pivotFmt>
        <c:idx val="663"/>
      </c:pivotFmt>
      <c:pivotFmt>
        <c:idx val="664"/>
      </c:pivotFmt>
      <c:pivotFmt>
        <c:idx val="665"/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5"/>
        <c:axId val="1534475583"/>
        <c:axId val="1675203008"/>
      </c:barChart>
      <c:catAx>
        <c:axId val="1534475583"/>
        <c:scaling>
          <c:orientation val="minMax"/>
        </c:scaling>
        <c:delete val="0"/>
        <c:axPos val="b"/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03008"/>
        <c:crosses val="autoZero"/>
        <c:auto val="1"/>
        <c:lblAlgn val="ctr"/>
        <c:lblOffset val="100"/>
        <c:noMultiLvlLbl val="0"/>
      </c:catAx>
      <c:valAx>
        <c:axId val="1675203008"/>
        <c:scaling>
          <c:orientation val="minMax"/>
          <c:max val="2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475583"/>
        <c:crosses val="autoZero"/>
        <c:crossBetween val="between"/>
      </c:valAx>
      <c:spPr>
        <a:noFill/>
        <a:ln w="9525" cmpd="tri">
          <a:solidFill>
            <a:schemeClr val="accent1">
              <a:shade val="1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3254090750141681E-2"/>
          <c:y val="1.8303167420814486E-2"/>
          <c:w val="0.47578880836679488"/>
          <c:h val="0.21044165829942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[Challenge_BI_S1.xlsm]Tempo_Leitura!Tabela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Tempo de Leitura Total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Apple Braille" pitchFamily="2" charset="0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Tempo_Leitura!$B$2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Apple Braille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Tempo_Leitura!$A$3:$A$6</c:f>
              <c:strCache>
                <c:ptCount val="3"/>
                <c:pt idx="0">
                  <c:v>Data Science</c:v>
                </c:pt>
                <c:pt idx="1">
                  <c:v>Gestão</c:v>
                </c:pt>
                <c:pt idx="2">
                  <c:v>UX</c:v>
                </c:pt>
              </c:strCache>
            </c:strRef>
          </c:cat>
          <c:val>
            <c:numRef>
              <c:f>Tempo_Leitura!$B$3:$B$6</c:f>
              <c:numCache>
                <c:formatCode>#,##0</c:formatCode>
                <c:ptCount val="3"/>
                <c:pt idx="0">
                  <c:v>465672</c:v>
                </c:pt>
                <c:pt idx="1">
                  <c:v>50548</c:v>
                </c:pt>
                <c:pt idx="2">
                  <c:v>1689074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F0-8C42-BDFB-0443D7963BEA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rgbClr val="002060"/>
        </a:gs>
        <a:gs pos="50000">
          <a:schemeClr val="accent1">
            <a:shade val="67500"/>
            <a:satMod val="115000"/>
          </a:schemeClr>
        </a:gs>
        <a:gs pos="100000">
          <a:schemeClr val="accent5">
            <a:lumMod val="40000"/>
            <a:lumOff val="60000"/>
          </a:schemeClr>
        </a:gs>
      </a:gsLst>
      <a:path path="circle">
        <a:fillToRect l="100000" b="100000"/>
      </a:path>
      <a:tileRect t="-100000" r="-100000"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10160</xdr:colOff>
      <xdr:row>0</xdr:row>
      <xdr:rowOff>10160</xdr:rowOff>
    </xdr:from>
    <xdr:to>
      <xdr:col>15</xdr:col>
      <xdr:colOff>0</xdr:colOff>
      <xdr:row>30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07ABF97-F833-E337-64D0-0DE63FC261F8}"/>
            </a:ext>
          </a:extLst>
        </xdr:cNvPr>
        <xdr:cNvSpPr/>
      </xdr:nvSpPr>
      <xdr:spPr>
        <a:xfrm>
          <a:off x="10160" y="10160"/>
          <a:ext cx="12334240" cy="6085840"/>
        </a:xfrm>
        <a:prstGeom prst="rect">
          <a:avLst/>
        </a:prstGeom>
        <a:solidFill>
          <a:schemeClr val="tx1">
            <a:alpha val="2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0</xdr:colOff>
      <xdr:row>5</xdr:row>
      <xdr:rowOff>15086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92DD3A8-3879-CCD1-F46D-03F8D47AA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91840" cy="1031086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</xdr:row>
      <xdr:rowOff>172720</xdr:rowOff>
    </xdr:from>
    <xdr:to>
      <xdr:col>14</xdr:col>
      <xdr:colOff>0</xdr:colOff>
      <xdr:row>5</xdr:row>
      <xdr:rowOff>15239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4073B4E0-719E-E27B-F57E-E3BBAA9A5F3A}"/>
            </a:ext>
          </a:extLst>
        </xdr:cNvPr>
        <xdr:cNvSpPr/>
      </xdr:nvSpPr>
      <xdr:spPr>
        <a:xfrm>
          <a:off x="822960" y="985520"/>
          <a:ext cx="10698480" cy="45719"/>
        </a:xfrm>
        <a:prstGeom prst="rect">
          <a:avLst/>
        </a:prstGeom>
        <a:solidFill>
          <a:srgbClr val="235F5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152400</xdr:colOff>
      <xdr:row>0</xdr:row>
      <xdr:rowOff>0</xdr:rowOff>
    </xdr:from>
    <xdr:to>
      <xdr:col>9</xdr:col>
      <xdr:colOff>673100</xdr:colOff>
      <xdr:row>5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a">
              <a:extLst>
                <a:ext uri="{FF2B5EF4-FFF2-40B4-BE49-F238E27FC236}">
                  <a16:creationId xmlns:a16="http://schemas.microsoft.com/office/drawing/2014/main" id="{4F58E50C-A94A-41BE-CBB0-41ED0A008D36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24400" y="0"/>
              <a:ext cx="5285740" cy="105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76200</xdr:colOff>
      <xdr:row>5</xdr:row>
      <xdr:rowOff>142240</xdr:rowOff>
    </xdr:from>
    <xdr:to>
      <xdr:col>9</xdr:col>
      <xdr:colOff>690880</xdr:colOff>
      <xdr:row>28</xdr:row>
      <xdr:rowOff>10160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D2E2465-0B31-E840-847F-D507C7D31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7</xdr:row>
      <xdr:rowOff>127000</xdr:rowOff>
    </xdr:from>
    <xdr:to>
      <xdr:col>2</xdr:col>
      <xdr:colOff>2057400</xdr:colOff>
      <xdr:row>23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E0D2AE-E456-BE2B-3CD6-AA4BB9D49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 Gurgel Moraes Bernardes" refreshedDate="45068.491422800929" createdVersion="8" refreshedVersion="8" minRefreshableVersion="3" recordCount="356" xr:uid="{404130FC-049E-2B47-833F-79AD08AB6543}">
  <cacheSource type="worksheet">
    <worksheetSource name="Tabela_dados_base"/>
  </cacheSource>
  <cacheFields count="19">
    <cacheField name="Article URL" numFmtId="0">
      <sharedItems/>
    </cacheField>
    <cacheField name="Nome do artigo" numFmtId="0">
      <sharedItems count="3">
        <s v="Recomendações de experiência do usuário"/>
        <s v="Análise: Expectativa vs. Realidade"/>
        <s v="A próxima grande novidade na inteligência aumentada"/>
      </sharedItems>
    </cacheField>
    <cacheField name="Categoria" numFmtId="0">
      <sharedItems count="3">
        <s v="UX"/>
        <s v="Gestão"/>
        <s v="Data Science"/>
      </sharedItems>
    </cacheField>
    <cacheField name="Campanha" numFmtId="0">
      <sharedItems containsSemiMixedTypes="0" containsString="0" containsNumber="1" containsInteger="1" minValue="1047" maxValue="1047"/>
    </cacheField>
    <cacheField name="Data" numFmtId="14">
      <sharedItems containsSemiMixedTypes="0" containsNonDate="0" containsDate="1" containsString="0" minDate="2021-06-01T00:00:00" maxDate="2021-12-01T00:00:00" count="183"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</sharedItems>
      <fieldGroup par="18" base="4">
        <rangePr groupBy="days" startDate="2021-06-01T00:00:00" endDate="2021-12-01T00:00:00"/>
        <groupItems count="368">
          <s v="&lt;01/06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1/12/2021"/>
        </groupItems>
      </fieldGroup>
    </cacheField>
    <cacheField name="Visitas Diretas" numFmtId="164">
      <sharedItems containsSemiMixedTypes="0" containsString="0" containsNumber="1" containsInteger="1" minValue="0" maxValue="12956"/>
    </cacheField>
    <cacheField name="Novos usuários únicos" numFmtId="164">
      <sharedItems containsSemiMixedTypes="0" containsString="0" containsNumber="1" containsInteger="1" minValue="0" maxValue="20729" count="251">
        <n v="116"/>
        <n v="165"/>
        <n v="932"/>
        <n v="408"/>
        <n v="1064"/>
        <n v="98"/>
        <n v="200"/>
        <n v="1014"/>
        <n v="2154"/>
        <n v="166"/>
        <n v="1210"/>
        <n v="4410"/>
        <n v="770"/>
        <n v="2701"/>
        <n v="575"/>
        <n v="1037"/>
        <n v="136"/>
        <n v="832"/>
        <n v="550"/>
        <n v="274"/>
        <n v="707"/>
        <n v="835"/>
        <n v="1788"/>
        <n v="232"/>
        <n v="616"/>
        <n v="246"/>
        <n v="730"/>
        <n v="789"/>
        <n v="379"/>
        <n v="92"/>
        <n v="320"/>
        <n v="862"/>
        <n v="45"/>
        <n v="9830"/>
        <n v="208"/>
        <n v="12342"/>
        <n v="2006"/>
        <n v="120"/>
        <n v="242"/>
        <n v="1556"/>
        <n v="84"/>
        <n v="737"/>
        <n v="484"/>
        <n v="3810"/>
        <n v="831"/>
        <n v="2175"/>
        <n v="1996"/>
        <n v="2364"/>
        <n v="131"/>
        <n v="395"/>
        <n v="2561"/>
        <n v="74"/>
        <n v="1469"/>
        <n v="3078"/>
        <n v="348"/>
        <n v="2321"/>
        <n v="742"/>
        <n v="1167"/>
        <n v="10032"/>
        <n v="1416"/>
        <n v="1504"/>
        <n v="387"/>
        <n v="95"/>
        <n v="4382"/>
        <n v="1964"/>
        <n v="134"/>
        <n v="2647"/>
        <n v="4162"/>
        <n v="4543"/>
        <n v="1597"/>
        <n v="1722"/>
        <n v="486"/>
        <n v="852"/>
        <n v="699"/>
        <n v="3443"/>
        <n v="4464"/>
        <n v="372"/>
        <n v="6021"/>
        <n v="218"/>
        <n v="3917"/>
        <n v="3105"/>
        <n v="170"/>
        <n v="3594"/>
        <n v="1872"/>
        <n v="403"/>
        <n v="1662"/>
        <n v="3199"/>
        <n v="1094"/>
        <n v="3064"/>
        <n v="202"/>
        <n v="599"/>
        <n v="271"/>
        <n v="456"/>
        <n v="927"/>
        <n v="591"/>
        <n v="400"/>
        <n v="82"/>
        <n v="7661"/>
        <n v="676"/>
        <n v="1837"/>
        <n v="417"/>
        <n v="824"/>
        <n v="108"/>
        <n v="337"/>
        <n v="256"/>
        <n v="1089"/>
        <n v="1153"/>
        <n v="83"/>
        <n v="283"/>
        <n v="544"/>
        <n v="35"/>
        <n v="179"/>
        <n v="345"/>
        <n v="150"/>
        <n v="634"/>
        <n v="51"/>
        <n v="138"/>
        <n v="381"/>
        <n v="467"/>
        <n v="1233"/>
        <n v="215"/>
        <n v="296"/>
        <n v="280"/>
        <n v="650"/>
        <n v="224"/>
        <n v="798"/>
        <n v="1348"/>
        <n v="1236"/>
        <n v="380"/>
        <n v="389"/>
        <n v="1035"/>
        <n v="680"/>
        <n v="1706"/>
        <n v="266"/>
        <n v="161"/>
        <n v="310"/>
        <n v="881"/>
        <n v="1131"/>
        <n v="829"/>
        <n v="1024"/>
        <n v="499"/>
        <n v="47"/>
        <n v="371"/>
        <n v="96"/>
        <n v="162"/>
        <n v="729"/>
        <n v="18"/>
        <n v="845"/>
        <n v="56"/>
        <n v="2678"/>
        <n v="42"/>
        <n v="31"/>
        <n v="206"/>
        <n v="1980"/>
        <n v="225"/>
        <n v="58"/>
        <n v="269"/>
        <n v="115"/>
        <n v="5132"/>
        <n v="188"/>
        <n v="275"/>
        <n v="27"/>
        <n v="245"/>
        <n v="506"/>
        <n v="538"/>
        <n v="129"/>
        <n v="331"/>
        <n v="918"/>
        <n v="998"/>
        <n v="853"/>
        <n v="1225"/>
        <n v="1610"/>
        <n v="1466"/>
        <n v="101"/>
        <n v="22"/>
        <n v="217"/>
        <n v="471"/>
        <n v="288"/>
        <n v="43"/>
        <n v="44"/>
        <n v="57"/>
        <n v="0"/>
        <n v="14"/>
        <n v="20"/>
        <n v="64"/>
        <n v="144"/>
        <n v="61"/>
        <n v="156"/>
        <n v="8"/>
        <n v="105"/>
        <n v="21"/>
        <n v="38"/>
        <n v="73"/>
        <n v="10"/>
        <n v="87"/>
        <n v="29"/>
        <n v="30"/>
        <n v="49"/>
        <n v="19"/>
        <n v="60"/>
        <n v="12"/>
        <n v="4"/>
        <n v="78"/>
        <n v="77"/>
        <n v="32"/>
        <n v="106"/>
        <n v="15"/>
        <n v="69"/>
        <n v="7"/>
        <n v="24"/>
        <n v="46"/>
        <n v="300"/>
        <n v="81"/>
        <n v="113"/>
        <n v="122"/>
        <n v="86"/>
        <n v="52"/>
        <n v="59"/>
        <n v="238"/>
        <n v="1402"/>
        <n v="8187"/>
        <n v="20729"/>
        <n v="5280"/>
        <n v="1012"/>
        <n v="449"/>
        <n v="570"/>
        <n v="1549"/>
        <n v="249"/>
        <n v="167"/>
        <n v="26"/>
        <n v="28"/>
        <n v="336"/>
        <n v="6"/>
        <n v="262"/>
        <n v="211"/>
        <n v="121"/>
        <n v="89"/>
        <n v="147"/>
        <n v="9"/>
        <n v="23"/>
        <n v="55"/>
        <n v="16"/>
        <n v="187"/>
        <n v="148"/>
        <n v="13"/>
        <n v="118"/>
        <n v="62"/>
        <n v="65"/>
        <n v="11"/>
        <n v="5"/>
        <n v="17"/>
      </sharedItems>
    </cacheField>
    <cacheField name="Clicks pagos" numFmtId="164">
      <sharedItems containsSemiMixedTypes="0" containsString="0" containsNumber="1" containsInteger="1" minValue="0" maxValue="570"/>
    </cacheField>
    <cacheField name="Tempo de leitura (minutos)" numFmtId="164">
      <sharedItems containsSemiMixedTypes="0" containsString="0" containsNumber="1" containsInteger="1" minValue="15" maxValue="231584"/>
    </cacheField>
    <cacheField name="Clicks redes sociais" numFmtId="164">
      <sharedItems containsSemiMixedTypes="0" containsString="0" containsNumber="1" containsInteger="1" minValue="0" maxValue="33685"/>
    </cacheField>
    <cacheField name="Vezes pesquisados" numFmtId="164">
      <sharedItems containsSemiMixedTypes="0" containsString="0" containsNumber="1" containsInteger="1" minValue="0" maxValue="5830"/>
    </cacheField>
    <cacheField name="Visualizações" numFmtId="164">
      <sharedItems containsSemiMixedTypes="0" containsString="0" containsNumber="1" containsInteger="1" minValue="6" maxValue="64865"/>
    </cacheField>
    <cacheField name="Total de Clicks" numFmtId="164">
      <sharedItems containsSemiMixedTypes="0" containsString="0" containsNumber="1" containsInteger="1" minValue="0" maxValue="33685"/>
    </cacheField>
    <cacheField name="% Clicks Pagos" numFmtId="10">
      <sharedItems containsMixedTypes="1" containsNumber="1" minValue="0" maxValue="0.25806451612903225"/>
    </cacheField>
    <cacheField name="% Clicks Redes Sociais" numFmtId="10">
      <sharedItems containsMixedTypes="1" containsNumber="1" minValue="0.74193548387096775" maxValue="1"/>
    </cacheField>
    <cacheField name="CTR" numFmtId="10">
      <sharedItems containsSemiMixedTypes="0" containsString="0" containsNumber="1" minValue="0" maxValue="0.69281250000000005"/>
    </cacheField>
    <cacheField name="% de vezes pesquisados" numFmtId="10">
      <sharedItems containsSemiMixedTypes="0" containsString="0" containsNumber="1" minValue="0" maxValue="0.1"/>
    </cacheField>
    <cacheField name="% de visitas diretas" numFmtId="10">
      <sharedItems containsSemiMixedTypes="0" containsString="0" containsNumber="1" minValue="0" maxValue="0.20105820105820105"/>
    </cacheField>
    <cacheField name="Meses" numFmtId="0" databaseField="0">
      <fieldGroup base="4">
        <rangePr groupBy="months" startDate="2021-06-01T00:00:00" endDate="2021-12-01T00:00:00"/>
        <groupItems count="14">
          <s v="&lt;01/06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12/2021"/>
        </groupItems>
      </fieldGroup>
    </cacheField>
  </cacheFields>
  <extLst>
    <ext xmlns:x14="http://schemas.microsoft.com/office/spreadsheetml/2009/9/main" uri="{725AE2AE-9491-48be-B2B4-4EB974FC3084}">
      <x14:pivotCacheDefinition pivotCacheId="5351300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6">
  <r>
    <s v="Article_1"/>
    <x v="0"/>
    <x v="0"/>
    <n v="1047"/>
    <x v="0"/>
    <n v="73"/>
    <x v="0"/>
    <n v="0"/>
    <n v="1120"/>
    <n v="189"/>
    <n v="33"/>
    <n v="444"/>
    <n v="189"/>
    <n v="0"/>
    <n v="1"/>
    <n v="0.42567567567567566"/>
    <n v="7.4324324324324328E-2"/>
    <n v="0.16441441441441443"/>
  </r>
  <r>
    <s v="Article_1"/>
    <x v="0"/>
    <x v="0"/>
    <n v="1047"/>
    <x v="1"/>
    <n v="103"/>
    <x v="1"/>
    <n v="0"/>
    <n v="1649"/>
    <n v="268"/>
    <n v="46"/>
    <n v="587"/>
    <n v="268"/>
    <n v="0"/>
    <n v="1"/>
    <n v="0.45655877342419082"/>
    <n v="7.8364565587734247E-2"/>
    <n v="0.17546848381601363"/>
  </r>
  <r>
    <s v="Article_1"/>
    <x v="0"/>
    <x v="0"/>
    <n v="1047"/>
    <x v="2"/>
    <n v="582"/>
    <x v="2"/>
    <n v="0"/>
    <n v="9220"/>
    <n v="1514"/>
    <n v="262"/>
    <n v="2968"/>
    <n v="1514"/>
    <n v="0"/>
    <n v="1"/>
    <n v="0.51010781671159033"/>
    <n v="8.8274932614555254E-2"/>
    <n v="0.19609164420485176"/>
  </r>
  <r>
    <s v="Article_1"/>
    <x v="0"/>
    <x v="0"/>
    <n v="1047"/>
    <x v="3"/>
    <n v="255"/>
    <x v="3"/>
    <n v="0"/>
    <n v="4545"/>
    <n v="664"/>
    <n v="115"/>
    <n v="1368"/>
    <n v="664"/>
    <n v="0"/>
    <n v="1"/>
    <n v="0.4853801169590643"/>
    <n v="8.4064327485380119E-2"/>
    <n v="0.18640350877192982"/>
  </r>
  <r>
    <s v="Article_1"/>
    <x v="0"/>
    <x v="0"/>
    <n v="1047"/>
    <x v="4"/>
    <n v="665"/>
    <x v="4"/>
    <n v="0"/>
    <n v="6479"/>
    <n v="1729"/>
    <n v="299"/>
    <n v="3369"/>
    <n v="1729"/>
    <n v="0"/>
    <n v="1"/>
    <n v="0.51320866726031467"/>
    <n v="8.8750371029979222E-2"/>
    <n v="0.19738794894627487"/>
  </r>
  <r>
    <s v="Article_1"/>
    <x v="0"/>
    <x v="0"/>
    <n v="1047"/>
    <x v="5"/>
    <n v="61"/>
    <x v="5"/>
    <n v="0"/>
    <n v="519"/>
    <n v="159"/>
    <n v="28"/>
    <n v="319"/>
    <n v="159"/>
    <n v="0"/>
    <n v="1"/>
    <n v="0.49843260188087773"/>
    <n v="8.7774294670846395E-2"/>
    <n v="0.19122257053291536"/>
  </r>
  <r>
    <s v="Article_1"/>
    <x v="0"/>
    <x v="0"/>
    <n v="1047"/>
    <x v="6"/>
    <n v="125"/>
    <x v="6"/>
    <n v="113"/>
    <n v="1136"/>
    <n v="325"/>
    <n v="56"/>
    <n v="706"/>
    <n v="438"/>
    <n v="0.25799086757990869"/>
    <n v="0.74200913242009137"/>
    <n v="0.6203966005665722"/>
    <n v="7.9320113314447591E-2"/>
    <n v="0.17705382436260622"/>
  </r>
  <r>
    <s v="Article_1"/>
    <x v="0"/>
    <x v="0"/>
    <n v="1047"/>
    <x v="7"/>
    <n v="634"/>
    <x v="7"/>
    <n v="570"/>
    <n v="7993"/>
    <n v="1647"/>
    <n v="285"/>
    <n v="3200"/>
    <n v="2217"/>
    <n v="0.25710419485791608"/>
    <n v="0.74289580514208386"/>
    <n v="0.69281250000000005"/>
    <n v="8.9062500000000003E-2"/>
    <n v="0.198125"/>
  </r>
  <r>
    <s v="Article_1"/>
    <x v="0"/>
    <x v="0"/>
    <n v="1047"/>
    <x v="8"/>
    <n v="1346"/>
    <x v="8"/>
    <n v="0"/>
    <n v="12753"/>
    <n v="3501"/>
    <n v="606"/>
    <n v="6789"/>
    <n v="3501"/>
    <n v="0"/>
    <n v="1"/>
    <n v="0.51568714096332302"/>
    <n v="8.9262041537781708E-2"/>
    <n v="0.19826189424068347"/>
  </r>
  <r>
    <s v="Article_1"/>
    <x v="0"/>
    <x v="0"/>
    <n v="1047"/>
    <x v="9"/>
    <n v="104"/>
    <x v="9"/>
    <n v="0"/>
    <n v="807"/>
    <n v="270"/>
    <n v="47"/>
    <n v="523"/>
    <n v="270"/>
    <n v="0"/>
    <n v="1"/>
    <n v="0.51625239005736134"/>
    <n v="8.9866156787762913E-2"/>
    <n v="0.19885277246653921"/>
  </r>
  <r>
    <s v="Article_1"/>
    <x v="0"/>
    <x v="0"/>
    <n v="1047"/>
    <x v="10"/>
    <n v="756"/>
    <x v="10"/>
    <n v="0"/>
    <n v="12701"/>
    <n v="1966"/>
    <n v="340"/>
    <n v="3828"/>
    <n v="1966"/>
    <n v="0"/>
    <n v="1"/>
    <n v="0.51358411703239293"/>
    <n v="8.8819226750261229E-2"/>
    <n v="0.19749216300940439"/>
  </r>
  <r>
    <s v="Article_1"/>
    <x v="0"/>
    <x v="0"/>
    <n v="1047"/>
    <x v="11"/>
    <n v="2756"/>
    <x v="11"/>
    <n v="0"/>
    <n v="32631"/>
    <n v="7166"/>
    <n v="1240"/>
    <n v="13879"/>
    <n v="7166"/>
    <n v="0"/>
    <n v="1"/>
    <n v="0.51631961956913319"/>
    <n v="8.9343612652208373E-2"/>
    <n v="0.1985733842495857"/>
  </r>
  <r>
    <s v="Article_1"/>
    <x v="0"/>
    <x v="0"/>
    <n v="1047"/>
    <x v="12"/>
    <n v="481"/>
    <x v="12"/>
    <n v="0"/>
    <n v="8925"/>
    <n v="1251"/>
    <n v="216"/>
    <n v="2489"/>
    <n v="1251"/>
    <n v="0"/>
    <n v="1"/>
    <n v="0.50261149055845722"/>
    <n v="8.678184009642427E-2"/>
    <n v="0.19325030132583368"/>
  </r>
  <r>
    <s v="Article_1"/>
    <x v="0"/>
    <x v="0"/>
    <n v="1047"/>
    <x v="13"/>
    <n v="1688"/>
    <x v="13"/>
    <n v="0"/>
    <n v="8970"/>
    <n v="4390"/>
    <n v="760"/>
    <n v="8524"/>
    <n v="4390"/>
    <n v="0"/>
    <n v="1"/>
    <n v="0.51501642421398408"/>
    <n v="8.9160018770530272E-2"/>
    <n v="0.19802909432191459"/>
  </r>
  <r>
    <s v="Article_1"/>
    <x v="0"/>
    <x v="0"/>
    <n v="1047"/>
    <x v="14"/>
    <n v="360"/>
    <x v="14"/>
    <n v="0"/>
    <n v="4325"/>
    <n v="935"/>
    <n v="162"/>
    <n v="1863"/>
    <n v="935"/>
    <n v="0"/>
    <n v="1"/>
    <n v="0.50187869028448739"/>
    <n v="8.6956521739130432E-2"/>
    <n v="0.19323671497584541"/>
  </r>
  <r>
    <s v="Article_1"/>
    <x v="0"/>
    <x v="0"/>
    <n v="1047"/>
    <x v="15"/>
    <n v="648"/>
    <x v="15"/>
    <n v="0"/>
    <n v="5818"/>
    <n v="1685"/>
    <n v="292"/>
    <n v="3279"/>
    <n v="1685"/>
    <n v="0"/>
    <n v="1"/>
    <n v="0.51387618176273253"/>
    <n v="8.9051540103690152E-2"/>
    <n v="0.19762122598353157"/>
  </r>
  <r>
    <s v="Article_1"/>
    <x v="0"/>
    <x v="0"/>
    <n v="1047"/>
    <x v="16"/>
    <n v="85"/>
    <x v="16"/>
    <n v="0"/>
    <n v="623"/>
    <n v="221"/>
    <n v="38"/>
    <n v="506"/>
    <n v="221"/>
    <n v="0"/>
    <n v="1"/>
    <n v="0.43675889328063239"/>
    <n v="7.5098814229249009E-2"/>
    <n v="0.16798418972332016"/>
  </r>
  <r>
    <s v="Article_1"/>
    <x v="0"/>
    <x v="0"/>
    <n v="1047"/>
    <x v="17"/>
    <n v="520"/>
    <x v="17"/>
    <n v="0"/>
    <n v="7585"/>
    <n v="1352"/>
    <n v="234"/>
    <n v="2617"/>
    <n v="1352"/>
    <n v="0"/>
    <n v="1"/>
    <n v="0.51662208635842566"/>
    <n v="8.9415361100496749E-2"/>
    <n v="0.19870080244554833"/>
  </r>
  <r>
    <s v="Article_1"/>
    <x v="0"/>
    <x v="0"/>
    <n v="1047"/>
    <x v="18"/>
    <n v="344"/>
    <x v="18"/>
    <n v="0"/>
    <n v="6934"/>
    <n v="894"/>
    <n v="155"/>
    <n v="1796"/>
    <n v="894"/>
    <n v="0"/>
    <n v="1"/>
    <n v="0.49777282850779508"/>
    <n v="8.630289532293986E-2"/>
    <n v="0.19153674832962139"/>
  </r>
  <r>
    <s v="Article_1"/>
    <x v="0"/>
    <x v="0"/>
    <n v="1047"/>
    <x v="19"/>
    <n v="171"/>
    <x v="19"/>
    <n v="0"/>
    <n v="3160"/>
    <n v="445"/>
    <n v="77"/>
    <n v="946"/>
    <n v="445"/>
    <n v="0"/>
    <n v="1"/>
    <n v="0.47040169133192389"/>
    <n v="8.1395348837209308E-2"/>
    <n v="0.18076109936575052"/>
  </r>
  <r>
    <s v="Article_1"/>
    <x v="0"/>
    <x v="0"/>
    <n v="1047"/>
    <x v="20"/>
    <n v="442"/>
    <x v="20"/>
    <n v="0"/>
    <n v="8283"/>
    <n v="1148"/>
    <n v="199"/>
    <n v="2308"/>
    <n v="1148"/>
    <n v="0"/>
    <n v="1"/>
    <n v="0.49740034662045063"/>
    <n v="8.6221837088388209E-2"/>
    <n v="0.19150779896013864"/>
  </r>
  <r>
    <s v="Article_1"/>
    <x v="0"/>
    <x v="0"/>
    <n v="1047"/>
    <x v="21"/>
    <n v="522"/>
    <x v="21"/>
    <n v="0"/>
    <n v="9286"/>
    <n v="1357"/>
    <n v="235"/>
    <n v="2635"/>
    <n v="1357"/>
    <n v="0"/>
    <n v="1"/>
    <n v="0.51499051233396587"/>
    <n v="8.9184060721062622E-2"/>
    <n v="0.19810246679316887"/>
  </r>
  <r>
    <s v="Article_1"/>
    <x v="0"/>
    <x v="0"/>
    <n v="1047"/>
    <x v="22"/>
    <n v="1118"/>
    <x v="22"/>
    <n v="0"/>
    <n v="11664"/>
    <n v="2906"/>
    <n v="503"/>
    <n v="5678"/>
    <n v="2906"/>
    <n v="0"/>
    <n v="1"/>
    <n v="0.51179992955265941"/>
    <n v="8.8587530820711524E-2"/>
    <n v="0.19690031701303276"/>
  </r>
  <r>
    <s v="Article_1"/>
    <x v="0"/>
    <x v="0"/>
    <n v="1047"/>
    <x v="23"/>
    <n v="145"/>
    <x v="23"/>
    <n v="0"/>
    <n v="1681"/>
    <n v="377"/>
    <n v="65"/>
    <n v="733"/>
    <n v="377"/>
    <n v="0"/>
    <n v="1"/>
    <n v="0.514324693042292"/>
    <n v="8.8676671214188263E-2"/>
    <n v="0.19781718963165076"/>
  </r>
  <r>
    <s v="Article_1"/>
    <x v="0"/>
    <x v="0"/>
    <n v="1047"/>
    <x v="24"/>
    <n v="385"/>
    <x v="24"/>
    <n v="0"/>
    <n v="7767"/>
    <n v="1000"/>
    <n v="173"/>
    <n v="1999"/>
    <n v="1000"/>
    <n v="0"/>
    <n v="1"/>
    <n v="0.5002501250625313"/>
    <n v="8.6543271635817903E-2"/>
    <n v="0.19259629814907453"/>
  </r>
  <r>
    <s v="Article_1"/>
    <x v="0"/>
    <x v="0"/>
    <n v="1047"/>
    <x v="25"/>
    <n v="154"/>
    <x v="25"/>
    <n v="0"/>
    <n v="1706"/>
    <n v="400"/>
    <n v="69"/>
    <n v="822"/>
    <n v="400"/>
    <n v="0"/>
    <n v="1"/>
    <n v="0.48661800486618007"/>
    <n v="8.3941605839416053E-2"/>
    <n v="0.18734793187347931"/>
  </r>
  <r>
    <s v="Article_1"/>
    <x v="0"/>
    <x v="0"/>
    <n v="1047"/>
    <x v="26"/>
    <n v="456"/>
    <x v="26"/>
    <n v="0"/>
    <n v="8759"/>
    <n v="1186"/>
    <n v="205"/>
    <n v="2358"/>
    <n v="1186"/>
    <n v="0"/>
    <n v="1"/>
    <n v="0.50296861747243427"/>
    <n v="8.6938083121289228E-2"/>
    <n v="0.19338422391857507"/>
  </r>
  <r>
    <s v="Article_1"/>
    <x v="0"/>
    <x v="0"/>
    <n v="1047"/>
    <x v="27"/>
    <n v="493"/>
    <x v="27"/>
    <n v="0"/>
    <n v="2801"/>
    <n v="1282"/>
    <n v="222"/>
    <n v="2551"/>
    <n v="1282"/>
    <n v="0"/>
    <n v="1"/>
    <n v="0.50254802038416302"/>
    <n v="8.7024696197569584E-2"/>
    <n v="0.19325754606036849"/>
  </r>
  <r>
    <s v="Article_1"/>
    <x v="0"/>
    <x v="0"/>
    <n v="1047"/>
    <x v="28"/>
    <n v="237"/>
    <x v="28"/>
    <n v="213"/>
    <n v="2249"/>
    <n v="616"/>
    <n v="107"/>
    <n v="1263"/>
    <n v="829"/>
    <n v="0.25693606755126658"/>
    <n v="0.74306393244873337"/>
    <n v="0.65637371338083927"/>
    <n v="8.471892319873317E-2"/>
    <n v="0.18764845605700711"/>
  </r>
  <r>
    <s v="Article_1"/>
    <x v="0"/>
    <x v="0"/>
    <n v="1047"/>
    <x v="29"/>
    <n v="58"/>
    <x v="29"/>
    <n v="0"/>
    <n v="387"/>
    <n v="150"/>
    <n v="26"/>
    <n v="366"/>
    <n v="150"/>
    <n v="0"/>
    <n v="1"/>
    <n v="0.4098360655737705"/>
    <n v="7.1038251366120214E-2"/>
    <n v="0.15846994535519127"/>
  </r>
  <r>
    <s v="Article_1"/>
    <x v="0"/>
    <x v="0"/>
    <n v="1047"/>
    <x v="30"/>
    <n v="200"/>
    <x v="30"/>
    <n v="0"/>
    <n v="1371"/>
    <n v="521"/>
    <n v="90"/>
    <n v="1021"/>
    <n v="521"/>
    <n v="0"/>
    <n v="1"/>
    <n v="0.51028403525954946"/>
    <n v="8.8148873653281098E-2"/>
    <n v="0.19588638589618021"/>
  </r>
  <r>
    <s v="Article_1"/>
    <x v="0"/>
    <x v="0"/>
    <n v="1047"/>
    <x v="31"/>
    <n v="539"/>
    <x v="31"/>
    <n v="485"/>
    <n v="5619"/>
    <n v="1401"/>
    <n v="243"/>
    <n v="2732"/>
    <n v="1886"/>
    <n v="0.25715800636267233"/>
    <n v="0.74284199363732772"/>
    <n v="0.69033674963396774"/>
    <n v="8.8945827232796482E-2"/>
    <n v="0.1972913616398243"/>
  </r>
  <r>
    <s v="Article_1"/>
    <x v="0"/>
    <x v="0"/>
    <n v="1047"/>
    <x v="32"/>
    <n v="28"/>
    <x v="32"/>
    <n v="0"/>
    <n v="302"/>
    <n v="73"/>
    <n v="13"/>
    <n v="196"/>
    <n v="73"/>
    <n v="0"/>
    <n v="1"/>
    <n v="0.37244897959183676"/>
    <n v="6.6326530612244902E-2"/>
    <n v="0.14285714285714285"/>
  </r>
  <r>
    <s v="Article_1"/>
    <x v="0"/>
    <x v="0"/>
    <n v="1047"/>
    <x v="33"/>
    <n v="6144"/>
    <x v="33"/>
    <n v="0"/>
    <n v="77579"/>
    <n v="15974"/>
    <n v="2765"/>
    <n v="30771"/>
    <n v="15974"/>
    <n v="0"/>
    <n v="1"/>
    <n v="0.51912515030385753"/>
    <n v="8.9857333203340814E-2"/>
    <n v="0.19966851906015404"/>
  </r>
  <r>
    <s v="Article_1"/>
    <x v="0"/>
    <x v="0"/>
    <n v="1047"/>
    <x v="34"/>
    <n v="130"/>
    <x v="34"/>
    <n v="0"/>
    <n v="2857"/>
    <n v="338"/>
    <n v="59"/>
    <n v="734"/>
    <n v="338"/>
    <n v="0"/>
    <n v="1"/>
    <n v="0.46049046321525888"/>
    <n v="8.038147138964577E-2"/>
    <n v="0.17711171662125341"/>
  </r>
  <r>
    <s v="Article_1"/>
    <x v="0"/>
    <x v="0"/>
    <n v="1047"/>
    <x v="35"/>
    <n v="7714"/>
    <x v="35"/>
    <n v="0"/>
    <n v="40904"/>
    <n v="20056"/>
    <n v="3471"/>
    <n v="38619"/>
    <n v="20056"/>
    <n v="0"/>
    <n v="1"/>
    <n v="0.51932986353867272"/>
    <n v="8.9878039307076829E-2"/>
    <n v="0.19974623889795179"/>
  </r>
  <r>
    <s v="Article_1"/>
    <x v="0"/>
    <x v="0"/>
    <n v="1047"/>
    <x v="36"/>
    <n v="1254"/>
    <x v="36"/>
    <n v="0"/>
    <n v="13332"/>
    <n v="3260"/>
    <n v="564"/>
    <n v="6359"/>
    <n v="3260"/>
    <n v="0"/>
    <n v="1"/>
    <n v="0.51265922314829371"/>
    <n v="8.8693190753263096E-2"/>
    <n v="0.19720081773863815"/>
  </r>
  <r>
    <s v="Article_1"/>
    <x v="0"/>
    <x v="0"/>
    <n v="1047"/>
    <x v="37"/>
    <n v="75"/>
    <x v="37"/>
    <n v="0"/>
    <n v="1353"/>
    <n v="196"/>
    <n v="34"/>
    <n v="385"/>
    <n v="196"/>
    <n v="0"/>
    <n v="1"/>
    <n v="0.50909090909090904"/>
    <n v="8.8311688311688313E-2"/>
    <n v="0.19480519480519481"/>
  </r>
  <r>
    <s v="Article_1"/>
    <x v="0"/>
    <x v="0"/>
    <n v="1047"/>
    <x v="38"/>
    <n v="151"/>
    <x v="38"/>
    <n v="0"/>
    <n v="1567"/>
    <n v="393"/>
    <n v="68"/>
    <n v="789"/>
    <n v="393"/>
    <n v="0"/>
    <n v="1"/>
    <n v="0.49809885931558934"/>
    <n v="8.6185044359949309E-2"/>
    <n v="0.19138149556400508"/>
  </r>
  <r>
    <s v="Article_1"/>
    <x v="0"/>
    <x v="0"/>
    <n v="1047"/>
    <x v="39"/>
    <n v="973"/>
    <x v="39"/>
    <n v="0"/>
    <n v="5337"/>
    <n v="2529"/>
    <n v="438"/>
    <n v="4897"/>
    <n v="2529"/>
    <n v="0"/>
    <n v="1"/>
    <n v="0.51643863589953032"/>
    <n v="8.9442515826015923E-2"/>
    <n v="0.19869307739432304"/>
  </r>
  <r>
    <s v="Article_1"/>
    <x v="0"/>
    <x v="0"/>
    <n v="1047"/>
    <x v="40"/>
    <n v="52"/>
    <x v="40"/>
    <n v="0"/>
    <n v="577"/>
    <n v="136"/>
    <n v="23"/>
    <n v="324"/>
    <n v="136"/>
    <n v="0"/>
    <n v="1"/>
    <n v="0.41975308641975306"/>
    <n v="7.098765432098765E-2"/>
    <n v="0.16049382716049382"/>
  </r>
  <r>
    <s v="Article_1"/>
    <x v="0"/>
    <x v="0"/>
    <n v="1047"/>
    <x v="41"/>
    <n v="461"/>
    <x v="41"/>
    <n v="0"/>
    <n v="6105"/>
    <n v="1198"/>
    <n v="207"/>
    <n v="2383"/>
    <n v="1198"/>
    <n v="0"/>
    <n v="1"/>
    <n v="0.50272765421737309"/>
    <n v="8.6865295845572801E-2"/>
    <n v="0.19345362987830467"/>
  </r>
  <r>
    <s v="Article_1"/>
    <x v="0"/>
    <x v="0"/>
    <n v="1047"/>
    <x v="42"/>
    <n v="1346"/>
    <x v="8"/>
    <n v="0"/>
    <n v="21441"/>
    <n v="3501"/>
    <n v="606"/>
    <n v="6819"/>
    <n v="3501"/>
    <n v="0"/>
    <n v="1"/>
    <n v="0.51341838979322485"/>
    <n v="8.8869335679718428E-2"/>
    <n v="0.19738964657574423"/>
  </r>
  <r>
    <s v="Article_1"/>
    <x v="0"/>
    <x v="0"/>
    <n v="1047"/>
    <x v="43"/>
    <n v="302"/>
    <x v="42"/>
    <n v="0"/>
    <n v="3236"/>
    <n v="786"/>
    <n v="136"/>
    <n v="1574"/>
    <n v="786"/>
    <n v="0"/>
    <n v="1"/>
    <n v="0.4993646759847522"/>
    <n v="8.6404066073697591E-2"/>
    <n v="0.19186785260482847"/>
  </r>
  <r>
    <s v="Article_1"/>
    <x v="0"/>
    <x v="0"/>
    <n v="1047"/>
    <x v="44"/>
    <n v="2381"/>
    <x v="43"/>
    <n v="0"/>
    <n v="38829"/>
    <n v="6192"/>
    <n v="1072"/>
    <n v="11974"/>
    <n v="6192"/>
    <n v="0"/>
    <n v="1"/>
    <n v="0.51712042759311838"/>
    <n v="8.952730916986805E-2"/>
    <n v="0.19884750292299982"/>
  </r>
  <r>
    <s v="Article_1"/>
    <x v="0"/>
    <x v="0"/>
    <n v="1047"/>
    <x v="45"/>
    <n v="519"/>
    <x v="44"/>
    <n v="0"/>
    <n v="4453"/>
    <n v="1350"/>
    <n v="234"/>
    <n v="2629"/>
    <n v="1350"/>
    <n v="0"/>
    <n v="1"/>
    <n v="0.5135032331685051"/>
    <n v="8.9007227082540885E-2"/>
    <n v="0.19741346519589198"/>
  </r>
  <r>
    <s v="Article_1"/>
    <x v="0"/>
    <x v="0"/>
    <n v="1047"/>
    <x v="46"/>
    <n v="1360"/>
    <x v="45"/>
    <n v="0"/>
    <n v="25163"/>
    <n v="3535"/>
    <n v="612"/>
    <n v="6867"/>
    <n v="3535"/>
    <n v="0"/>
    <n v="1"/>
    <n v="0.51478083588175327"/>
    <n v="8.9121887287024901E-2"/>
    <n v="0.19804863841561091"/>
  </r>
  <r>
    <s v="Article_1"/>
    <x v="0"/>
    <x v="0"/>
    <n v="1047"/>
    <x v="47"/>
    <n v="1247"/>
    <x v="46"/>
    <n v="0"/>
    <n v="7505"/>
    <n v="3243"/>
    <n v="561"/>
    <n v="6247"/>
    <n v="3243"/>
    <n v="0"/>
    <n v="1"/>
    <n v="0.51912918200736358"/>
    <n v="8.9803105490635499E-2"/>
    <n v="0.19961581559148392"/>
  </r>
  <r>
    <s v="Article_1"/>
    <x v="0"/>
    <x v="0"/>
    <n v="1047"/>
    <x v="48"/>
    <n v="1477"/>
    <x v="47"/>
    <n v="0"/>
    <n v="19864"/>
    <n v="3841"/>
    <n v="665"/>
    <n v="7419"/>
    <n v="3841"/>
    <n v="0"/>
    <n v="1"/>
    <n v="0.51772476074942719"/>
    <n v="8.9634721660601158E-2"/>
    <n v="0.19908343442512469"/>
  </r>
  <r>
    <s v="Article_1"/>
    <x v="0"/>
    <x v="0"/>
    <n v="1047"/>
    <x v="49"/>
    <n v="82"/>
    <x v="48"/>
    <n v="0"/>
    <n v="736"/>
    <n v="212"/>
    <n v="37"/>
    <n v="437"/>
    <n v="212"/>
    <n v="0"/>
    <n v="1"/>
    <n v="0.48512585812356979"/>
    <n v="8.4668192219679639E-2"/>
    <n v="0.18764302059496568"/>
  </r>
  <r>
    <s v="Article_1"/>
    <x v="0"/>
    <x v="0"/>
    <n v="1047"/>
    <x v="50"/>
    <n v="247"/>
    <x v="49"/>
    <n v="0"/>
    <n v="4189"/>
    <n v="642"/>
    <n v="111"/>
    <n v="1246"/>
    <n v="642"/>
    <n v="0"/>
    <n v="1"/>
    <n v="0.51524879614767261"/>
    <n v="8.908507223113965E-2"/>
    <n v="0.19823434991974317"/>
  </r>
  <r>
    <s v="Article_1"/>
    <x v="0"/>
    <x v="0"/>
    <n v="1047"/>
    <x v="51"/>
    <n v="1601"/>
    <x v="50"/>
    <n v="0"/>
    <n v="16491"/>
    <n v="4162"/>
    <n v="720"/>
    <n v="8013"/>
    <n v="4162"/>
    <n v="0"/>
    <n v="1"/>
    <n v="0.51940596530637717"/>
    <n v="8.9853987270685137E-2"/>
    <n v="0.1998003244727318"/>
  </r>
  <r>
    <s v="Article_1"/>
    <x v="0"/>
    <x v="0"/>
    <n v="1047"/>
    <x v="52"/>
    <n v="46"/>
    <x v="51"/>
    <n v="0"/>
    <n v="426"/>
    <n v="120"/>
    <n v="21"/>
    <n v="238"/>
    <n v="120"/>
    <n v="0"/>
    <n v="1"/>
    <n v="0.50420168067226889"/>
    <n v="8.8235294117647065E-2"/>
    <n v="0.19327731092436976"/>
  </r>
  <r>
    <s v="Article_1"/>
    <x v="0"/>
    <x v="0"/>
    <n v="1047"/>
    <x v="53"/>
    <n v="918"/>
    <x v="52"/>
    <n v="0"/>
    <n v="4714"/>
    <n v="2388"/>
    <n v="413"/>
    <n v="4619"/>
    <n v="2388"/>
    <n v="0"/>
    <n v="1"/>
    <n v="0.51699502056722235"/>
    <n v="8.9413292920545576E-2"/>
    <n v="0.19874431695172115"/>
  </r>
  <r>
    <s v="Article_1"/>
    <x v="0"/>
    <x v="0"/>
    <n v="1047"/>
    <x v="54"/>
    <n v="1924"/>
    <x v="53"/>
    <n v="0"/>
    <n v="14157"/>
    <n v="5002"/>
    <n v="866"/>
    <n v="9690"/>
    <n v="5002"/>
    <n v="0"/>
    <n v="1"/>
    <n v="0.51620227038183697"/>
    <n v="8.9370485036119718E-2"/>
    <n v="0.19855521155830752"/>
  </r>
  <r>
    <s v="Article_1"/>
    <x v="0"/>
    <x v="0"/>
    <n v="1047"/>
    <x v="55"/>
    <n v="218"/>
    <x v="54"/>
    <n v="0"/>
    <n v="3128"/>
    <n v="566"/>
    <n v="98"/>
    <n v="1138"/>
    <n v="566"/>
    <n v="0"/>
    <n v="1"/>
    <n v="0.49736379613356768"/>
    <n v="8.6115992970123026E-2"/>
    <n v="0.19156414762741653"/>
  </r>
  <r>
    <s v="Article_1"/>
    <x v="0"/>
    <x v="0"/>
    <n v="1047"/>
    <x v="56"/>
    <n v="1450"/>
    <x v="55"/>
    <n v="0"/>
    <n v="18544"/>
    <n v="3771"/>
    <n v="653"/>
    <n v="7297"/>
    <n v="3771"/>
    <n v="0"/>
    <n v="1"/>
    <n v="0.51678772098122516"/>
    <n v="8.9488831026449223E-2"/>
    <n v="0.19871179936960395"/>
  </r>
  <r>
    <s v="Article_1"/>
    <x v="0"/>
    <x v="0"/>
    <n v="1047"/>
    <x v="57"/>
    <n v="464"/>
    <x v="56"/>
    <n v="0"/>
    <n v="4782"/>
    <n v="1206"/>
    <n v="209"/>
    <n v="2371"/>
    <n v="1206"/>
    <n v="0"/>
    <n v="1"/>
    <n v="0.50864614086883175"/>
    <n v="8.8148460565162373E-2"/>
    <n v="0.19569801771404471"/>
  </r>
  <r>
    <s v="Article_1"/>
    <x v="0"/>
    <x v="0"/>
    <n v="1047"/>
    <x v="58"/>
    <n v="730"/>
    <x v="57"/>
    <n v="0"/>
    <n v="14655"/>
    <n v="1897"/>
    <n v="328"/>
    <n v="3702"/>
    <n v="1897"/>
    <n v="0"/>
    <n v="1"/>
    <n v="0.51242571582928143"/>
    <n v="8.8600756347920043E-2"/>
    <n v="0.19719070772555375"/>
  </r>
  <r>
    <s v="Article_1"/>
    <x v="0"/>
    <x v="0"/>
    <n v="1047"/>
    <x v="59"/>
    <n v="6270"/>
    <x v="58"/>
    <n v="0"/>
    <n v="33789"/>
    <n v="16302"/>
    <n v="2822"/>
    <n v="31399"/>
    <n v="16302"/>
    <n v="0"/>
    <n v="1"/>
    <n v="0.51918850918819071"/>
    <n v="8.9875473741201944E-2"/>
    <n v="0.1996878881493041"/>
  </r>
  <r>
    <s v="Article_1"/>
    <x v="0"/>
    <x v="0"/>
    <n v="1047"/>
    <x v="60"/>
    <n v="885"/>
    <x v="59"/>
    <n v="0"/>
    <n v="15080"/>
    <n v="2300"/>
    <n v="398"/>
    <n v="4474"/>
    <n v="2300"/>
    <n v="0"/>
    <n v="1"/>
    <n v="0.51408135896289675"/>
    <n v="8.8958426464014306E-2"/>
    <n v="0.19780956638354941"/>
  </r>
  <r>
    <s v="Article_1"/>
    <x v="0"/>
    <x v="0"/>
    <n v="1047"/>
    <x v="61"/>
    <n v="940"/>
    <x v="60"/>
    <n v="0"/>
    <n v="11999"/>
    <n v="2444"/>
    <n v="423"/>
    <n v="4791"/>
    <n v="2444"/>
    <n v="0"/>
    <n v="1"/>
    <n v="0.5101231475683573"/>
    <n v="8.8290544771446461E-2"/>
    <n v="0.19620121060321435"/>
  </r>
  <r>
    <s v="Article_1"/>
    <x v="0"/>
    <x v="0"/>
    <n v="1047"/>
    <x v="62"/>
    <n v="242"/>
    <x v="61"/>
    <n v="0"/>
    <n v="2526"/>
    <n v="629"/>
    <n v="109"/>
    <n v="1259"/>
    <n v="629"/>
    <n v="0"/>
    <n v="1"/>
    <n v="0.49960285941223193"/>
    <n v="8.6576648133439238E-2"/>
    <n v="0.19221604447974583"/>
  </r>
  <r>
    <s v="Article_1"/>
    <x v="0"/>
    <x v="0"/>
    <n v="1047"/>
    <x v="63"/>
    <n v="59"/>
    <x v="62"/>
    <n v="0"/>
    <n v="925"/>
    <n v="154"/>
    <n v="27"/>
    <n v="320"/>
    <n v="154"/>
    <n v="0"/>
    <n v="1"/>
    <n v="0.48125000000000001"/>
    <n v="8.4375000000000006E-2"/>
    <n v="0.18437500000000001"/>
  </r>
  <r>
    <s v="Article_1"/>
    <x v="0"/>
    <x v="0"/>
    <n v="1047"/>
    <x v="64"/>
    <n v="2739"/>
    <x v="63"/>
    <n v="0"/>
    <n v="54636"/>
    <n v="7121"/>
    <n v="1233"/>
    <n v="13793"/>
    <n v="7121"/>
    <n v="0"/>
    <n v="1"/>
    <n v="0.51627637207279053"/>
    <n v="8.939317044877837E-2"/>
    <n v="0.19857898934242008"/>
  </r>
  <r>
    <s v="Article_1"/>
    <x v="0"/>
    <x v="0"/>
    <n v="1047"/>
    <x v="65"/>
    <n v="1228"/>
    <x v="64"/>
    <n v="0"/>
    <n v="24095"/>
    <n v="3192"/>
    <n v="552"/>
    <n v="6163"/>
    <n v="3192"/>
    <n v="0"/>
    <n v="1"/>
    <n v="0.51792957975012166"/>
    <n v="8.9566769430472176E-2"/>
    <n v="0.19925361025474606"/>
  </r>
  <r>
    <s v="Article_1"/>
    <x v="0"/>
    <x v="0"/>
    <n v="1047"/>
    <x v="66"/>
    <n v="84"/>
    <x v="65"/>
    <n v="0"/>
    <n v="831"/>
    <n v="218"/>
    <n v="38"/>
    <n v="520"/>
    <n v="218"/>
    <n v="0"/>
    <n v="1"/>
    <n v="0.41923076923076924"/>
    <n v="7.3076923076923081E-2"/>
    <n v="0.16153846153846155"/>
  </r>
  <r>
    <s v="Article_1"/>
    <x v="0"/>
    <x v="0"/>
    <n v="1047"/>
    <x v="67"/>
    <n v="1654"/>
    <x v="66"/>
    <n v="0"/>
    <n v="32801"/>
    <n v="4301"/>
    <n v="744"/>
    <n v="8352"/>
    <n v="4301"/>
    <n v="0"/>
    <n v="1"/>
    <n v="0.51496647509578541"/>
    <n v="8.9080459770114945E-2"/>
    <n v="0.19803639846743296"/>
  </r>
  <r>
    <s v="Article_1"/>
    <x v="0"/>
    <x v="0"/>
    <n v="1047"/>
    <x v="68"/>
    <n v="2601"/>
    <x v="67"/>
    <n v="0"/>
    <n v="52007"/>
    <n v="6763"/>
    <n v="1170"/>
    <n v="13069"/>
    <n v="6763"/>
    <n v="0"/>
    <n v="1"/>
    <n v="0.51748412273318545"/>
    <n v="8.9524829749789578E-2"/>
    <n v="0.1990205830591476"/>
  </r>
  <r>
    <s v="Article_1"/>
    <x v="0"/>
    <x v="0"/>
    <n v="1047"/>
    <x v="69"/>
    <n v="2839"/>
    <x v="68"/>
    <n v="0"/>
    <n v="31551"/>
    <n v="7382"/>
    <n v="1278"/>
    <n v="14238"/>
    <n v="7382"/>
    <n v="0"/>
    <n v="1"/>
    <n v="0.51847169546284588"/>
    <n v="8.9759797724399501E-2"/>
    <n v="0.19939598258182328"/>
  </r>
  <r>
    <s v="Article_1"/>
    <x v="0"/>
    <x v="0"/>
    <n v="1047"/>
    <x v="70"/>
    <n v="998"/>
    <x v="69"/>
    <n v="0"/>
    <n v="7035"/>
    <n v="2596"/>
    <n v="449"/>
    <n v="5016"/>
    <n v="2596"/>
    <n v="0"/>
    <n v="1"/>
    <n v="0.51754385964912286"/>
    <n v="8.9513556618819781E-2"/>
    <n v="0.19896331738437001"/>
  </r>
  <r>
    <s v="Article_1"/>
    <x v="0"/>
    <x v="0"/>
    <n v="1047"/>
    <x v="71"/>
    <n v="1076"/>
    <x v="70"/>
    <n v="0"/>
    <n v="8837"/>
    <n v="2799"/>
    <n v="484"/>
    <n v="5392"/>
    <n v="2799"/>
    <n v="0"/>
    <n v="1"/>
    <n v="0.51910237388724034"/>
    <n v="8.9762611275964396E-2"/>
    <n v="0.19955489614243324"/>
  </r>
  <r>
    <s v="Article_1"/>
    <x v="0"/>
    <x v="0"/>
    <n v="1047"/>
    <x v="72"/>
    <n v="304"/>
    <x v="71"/>
    <n v="0"/>
    <n v="2671"/>
    <n v="789"/>
    <n v="137"/>
    <n v="1550"/>
    <n v="789"/>
    <n v="0"/>
    <n v="1"/>
    <n v="0.50903225806451613"/>
    <n v="8.8387096774193555E-2"/>
    <n v="0.19612903225806452"/>
  </r>
  <r>
    <s v="Article_1"/>
    <x v="0"/>
    <x v="0"/>
    <n v="1047"/>
    <x v="73"/>
    <n v="533"/>
    <x v="72"/>
    <n v="0"/>
    <n v="7069"/>
    <n v="1385"/>
    <n v="240"/>
    <n v="2756"/>
    <n v="1385"/>
    <n v="0"/>
    <n v="1"/>
    <n v="0.5025399129172714"/>
    <n v="8.7082728592162553E-2"/>
    <n v="0.19339622641509435"/>
  </r>
  <r>
    <s v="Article_1"/>
    <x v="0"/>
    <x v="0"/>
    <n v="1047"/>
    <x v="74"/>
    <n v="437"/>
    <x v="73"/>
    <n v="0"/>
    <n v="3498"/>
    <n v="1136"/>
    <n v="197"/>
    <n v="2282"/>
    <n v="1136"/>
    <n v="0"/>
    <n v="1"/>
    <n v="0.49780893952673094"/>
    <n v="8.6327782646801049E-2"/>
    <n v="0.19149868536371603"/>
  </r>
  <r>
    <s v="Article_1"/>
    <x v="0"/>
    <x v="0"/>
    <n v="1047"/>
    <x v="75"/>
    <n v="2152"/>
    <x v="74"/>
    <n v="0"/>
    <n v="40344"/>
    <n v="5594"/>
    <n v="968"/>
    <n v="10788"/>
    <n v="5594"/>
    <n v="0"/>
    <n v="1"/>
    <n v="0.51853911753800519"/>
    <n v="8.9729328883945123E-2"/>
    <n v="0.19948090470893584"/>
  </r>
  <r>
    <s v="Article_1"/>
    <x v="0"/>
    <x v="0"/>
    <n v="1047"/>
    <x v="76"/>
    <n v="2790"/>
    <x v="75"/>
    <n v="0"/>
    <n v="53828"/>
    <n v="7254"/>
    <n v="1256"/>
    <n v="14047"/>
    <n v="7254"/>
    <n v="0"/>
    <n v="1"/>
    <n v="0.51640919769345772"/>
    <n v="8.9414109774329037E-2"/>
    <n v="0.19861892218979141"/>
  </r>
  <r>
    <s v="Article_1"/>
    <x v="0"/>
    <x v="0"/>
    <n v="1047"/>
    <x v="77"/>
    <n v="232"/>
    <x v="76"/>
    <n v="0"/>
    <n v="2834"/>
    <n v="604"/>
    <n v="105"/>
    <n v="1179"/>
    <n v="604"/>
    <n v="0"/>
    <n v="1"/>
    <n v="0.51229855810008484"/>
    <n v="8.9058524173027995E-2"/>
    <n v="0.19677692960135709"/>
  </r>
  <r>
    <s v="Article_1"/>
    <x v="0"/>
    <x v="0"/>
    <n v="1047"/>
    <x v="78"/>
    <n v="3763"/>
    <x v="77"/>
    <n v="0"/>
    <n v="45771"/>
    <n v="9784"/>
    <n v="1693"/>
    <n v="18854"/>
    <n v="9784"/>
    <n v="0"/>
    <n v="1"/>
    <n v="0.51893497401082"/>
    <n v="8.9795268908454434E-2"/>
    <n v="0.19958629468547789"/>
  </r>
  <r>
    <s v="Article_1"/>
    <x v="0"/>
    <x v="0"/>
    <n v="1047"/>
    <x v="79"/>
    <n v="136"/>
    <x v="78"/>
    <n v="0"/>
    <n v="1985"/>
    <n v="354"/>
    <n v="61"/>
    <n v="739"/>
    <n v="354"/>
    <n v="0"/>
    <n v="1"/>
    <n v="0.47902571041948577"/>
    <n v="8.2543978349120431E-2"/>
    <n v="0.18403247631935046"/>
  </r>
  <r>
    <s v="Article_1"/>
    <x v="0"/>
    <x v="0"/>
    <n v="1047"/>
    <x v="80"/>
    <n v="2448"/>
    <x v="79"/>
    <n v="0"/>
    <n v="30795"/>
    <n v="6365"/>
    <n v="1102"/>
    <n v="12294"/>
    <n v="6365"/>
    <n v="0"/>
    <n v="1"/>
    <n v="0.51773222710265165"/>
    <n v="8.9637221408817302E-2"/>
    <n v="0.19912152269399708"/>
  </r>
  <r>
    <s v="Article_1"/>
    <x v="0"/>
    <x v="0"/>
    <n v="1047"/>
    <x v="81"/>
    <n v="1940"/>
    <x v="80"/>
    <n v="0"/>
    <n v="24299"/>
    <n v="5045"/>
    <n v="873"/>
    <n v="9783"/>
    <n v="5045"/>
    <n v="0"/>
    <n v="1"/>
    <n v="0.51569048349177149"/>
    <n v="8.9236430542778286E-2"/>
    <n v="0.19830317898395175"/>
  </r>
  <r>
    <s v="Article_1"/>
    <x v="0"/>
    <x v="0"/>
    <n v="1047"/>
    <x v="82"/>
    <n v="106"/>
    <x v="81"/>
    <n v="0"/>
    <n v="1054"/>
    <n v="276"/>
    <n v="48"/>
    <n v="576"/>
    <n v="276"/>
    <n v="0"/>
    <n v="1"/>
    <n v="0.47916666666666669"/>
    <n v="8.3333333333333329E-2"/>
    <n v="0.18402777777777779"/>
  </r>
  <r>
    <s v="Article_1"/>
    <x v="0"/>
    <x v="0"/>
    <n v="1047"/>
    <x v="83"/>
    <n v="46"/>
    <x v="51"/>
    <n v="0"/>
    <n v="294"/>
    <n v="121"/>
    <n v="21"/>
    <n v="240"/>
    <n v="121"/>
    <n v="0"/>
    <n v="1"/>
    <n v="0.50416666666666665"/>
    <n v="8.7499999999999994E-2"/>
    <n v="0.19166666666666668"/>
  </r>
  <r>
    <s v="Article_1"/>
    <x v="0"/>
    <x v="0"/>
    <n v="1047"/>
    <x v="84"/>
    <n v="2246"/>
    <x v="82"/>
    <n v="0"/>
    <n v="20067"/>
    <n v="5841"/>
    <n v="1011"/>
    <n v="11247"/>
    <n v="5841"/>
    <n v="0"/>
    <n v="1"/>
    <n v="0.51933849026407042"/>
    <n v="8.9890637503334217E-2"/>
    <n v="0.1996976971636881"/>
  </r>
  <r>
    <s v="Article_1"/>
    <x v="0"/>
    <x v="0"/>
    <n v="1047"/>
    <x v="85"/>
    <n v="1170"/>
    <x v="83"/>
    <n v="0"/>
    <n v="7021"/>
    <n v="3042"/>
    <n v="527"/>
    <n v="5904"/>
    <n v="3042"/>
    <n v="0"/>
    <n v="1"/>
    <n v="0.5152439024390244"/>
    <n v="8.9261517615176159E-2"/>
    <n v="0.19817073170731708"/>
  </r>
  <r>
    <s v="Article_1"/>
    <x v="0"/>
    <x v="0"/>
    <n v="1047"/>
    <x v="86"/>
    <n v="252"/>
    <x v="84"/>
    <n v="0"/>
    <n v="4432"/>
    <n v="655"/>
    <n v="113"/>
    <n v="1285"/>
    <n v="655"/>
    <n v="0"/>
    <n v="1"/>
    <n v="0.50972762645914393"/>
    <n v="8.7937743190661485E-2"/>
    <n v="0.19610894941634241"/>
  </r>
  <r>
    <s v="Article_1"/>
    <x v="0"/>
    <x v="0"/>
    <n v="1047"/>
    <x v="87"/>
    <n v="1039"/>
    <x v="85"/>
    <n v="0"/>
    <n v="19036"/>
    <n v="2701"/>
    <n v="467"/>
    <n v="5278"/>
    <n v="2701"/>
    <n v="0"/>
    <n v="1"/>
    <n v="0.51174687381583939"/>
    <n v="8.8480485032209163E-2"/>
    <n v="0.19685486926866239"/>
  </r>
  <r>
    <s v="Article_1"/>
    <x v="0"/>
    <x v="0"/>
    <n v="1047"/>
    <x v="88"/>
    <n v="1999"/>
    <x v="86"/>
    <n v="0"/>
    <n v="36531"/>
    <n v="5198"/>
    <n v="900"/>
    <n v="10046"/>
    <n v="5198"/>
    <n v="0"/>
    <n v="1"/>
    <n v="0.51741986860441969"/>
    <n v="8.958789567987259E-2"/>
    <n v="0.1989846705156281"/>
  </r>
  <r>
    <s v="Article_1"/>
    <x v="0"/>
    <x v="0"/>
    <n v="1047"/>
    <x v="89"/>
    <n v="684"/>
    <x v="87"/>
    <n v="0"/>
    <n v="4571"/>
    <n v="1778"/>
    <n v="308"/>
    <n v="3427"/>
    <n v="1778"/>
    <n v="0"/>
    <n v="1"/>
    <n v="0.51882112634957689"/>
    <n v="8.9874525824336152E-2"/>
    <n v="0.19959147942807121"/>
  </r>
  <r>
    <s v="Article_1"/>
    <x v="0"/>
    <x v="0"/>
    <n v="1047"/>
    <x v="90"/>
    <n v="1915"/>
    <x v="88"/>
    <n v="0"/>
    <n v="24348"/>
    <n v="4980"/>
    <n v="862"/>
    <n v="9647"/>
    <n v="4980"/>
    <n v="0"/>
    <n v="1"/>
    <n v="0.51622265989426763"/>
    <n v="8.9354203379288899E-2"/>
    <n v="0.19850730797139007"/>
  </r>
  <r>
    <s v="Article_1"/>
    <x v="0"/>
    <x v="0"/>
    <n v="1047"/>
    <x v="91"/>
    <n v="126"/>
    <x v="89"/>
    <n v="0"/>
    <n v="1384"/>
    <n v="328"/>
    <n v="57"/>
    <n v="708"/>
    <n v="328"/>
    <n v="0"/>
    <n v="1"/>
    <n v="0.4632768361581921"/>
    <n v="8.050847457627118E-2"/>
    <n v="0.17796610169491525"/>
  </r>
  <r>
    <s v="Article_1"/>
    <x v="0"/>
    <x v="0"/>
    <n v="1047"/>
    <x v="92"/>
    <n v="374"/>
    <x v="90"/>
    <n v="0"/>
    <n v="5074"/>
    <n v="973"/>
    <n v="168"/>
    <n v="1895"/>
    <n v="973"/>
    <n v="0"/>
    <n v="1"/>
    <n v="0.51345646437994719"/>
    <n v="8.8654353562005281E-2"/>
    <n v="0.19736147757255937"/>
  </r>
  <r>
    <s v="Article_1"/>
    <x v="0"/>
    <x v="0"/>
    <n v="1047"/>
    <x v="93"/>
    <n v="169"/>
    <x v="91"/>
    <n v="0"/>
    <n v="1750"/>
    <n v="440"/>
    <n v="76"/>
    <n v="903"/>
    <n v="440"/>
    <n v="0"/>
    <n v="1"/>
    <n v="0.48726467331118495"/>
    <n v="8.416389811738649E-2"/>
    <n v="0.18715393133997785"/>
  </r>
  <r>
    <s v="Article_1"/>
    <x v="0"/>
    <x v="0"/>
    <n v="1047"/>
    <x v="94"/>
    <n v="285"/>
    <x v="92"/>
    <n v="0"/>
    <n v="2637"/>
    <n v="741"/>
    <n v="128"/>
    <n v="1438"/>
    <n v="741"/>
    <n v="0"/>
    <n v="1"/>
    <n v="0.51529902642559111"/>
    <n v="8.9012517385257298E-2"/>
    <n v="0.19819193324061196"/>
  </r>
  <r>
    <s v="Article_1"/>
    <x v="0"/>
    <x v="0"/>
    <n v="1047"/>
    <x v="95"/>
    <n v="580"/>
    <x v="93"/>
    <n v="0"/>
    <n v="8092"/>
    <n v="1507"/>
    <n v="261"/>
    <n v="2931"/>
    <n v="1507"/>
    <n v="0"/>
    <n v="1"/>
    <n v="0.51415899010576593"/>
    <n v="8.9048106448311154E-2"/>
    <n v="0.19788468099624701"/>
  </r>
  <r>
    <s v="Article_1"/>
    <x v="0"/>
    <x v="0"/>
    <n v="1047"/>
    <x v="96"/>
    <n v="370"/>
    <x v="94"/>
    <n v="0"/>
    <n v="6859"/>
    <n v="961"/>
    <n v="166"/>
    <n v="1888"/>
    <n v="961"/>
    <n v="0"/>
    <n v="1"/>
    <n v="0.5090042372881356"/>
    <n v="8.7923728813559324E-2"/>
    <n v="0.19597457627118645"/>
  </r>
  <r>
    <s v="Article_1"/>
    <x v="0"/>
    <x v="0"/>
    <n v="1047"/>
    <x v="97"/>
    <n v="250"/>
    <x v="95"/>
    <n v="0"/>
    <n v="3386"/>
    <n v="650"/>
    <n v="113"/>
    <n v="1342"/>
    <n v="650"/>
    <n v="0"/>
    <n v="1"/>
    <n v="0.4843517138599106"/>
    <n v="8.4202682563338307E-2"/>
    <n v="0.18628912071535023"/>
  </r>
  <r>
    <s v="Article_1"/>
    <x v="0"/>
    <x v="0"/>
    <n v="1047"/>
    <x v="98"/>
    <n v="51"/>
    <x v="96"/>
    <n v="0"/>
    <n v="411"/>
    <n v="133"/>
    <n v="23"/>
    <n v="314"/>
    <n v="133"/>
    <n v="0"/>
    <n v="1"/>
    <n v="0.42356687898089174"/>
    <n v="7.32484076433121E-2"/>
    <n v="0.16242038216560509"/>
  </r>
  <r>
    <s v="Article_1"/>
    <x v="0"/>
    <x v="0"/>
    <n v="1047"/>
    <x v="99"/>
    <n v="4788"/>
    <x v="97"/>
    <n v="0"/>
    <n v="84401"/>
    <n v="12449"/>
    <n v="2155"/>
    <n v="23965"/>
    <n v="12449"/>
    <n v="0"/>
    <n v="1"/>
    <n v="0.51946588775297309"/>
    <n v="8.9922804089296884E-2"/>
    <n v="0.19979136240350512"/>
  </r>
  <r>
    <s v="Article_1"/>
    <x v="0"/>
    <x v="0"/>
    <n v="1047"/>
    <x v="100"/>
    <n v="422"/>
    <x v="98"/>
    <n v="0"/>
    <n v="5297"/>
    <n v="1098"/>
    <n v="190"/>
    <n v="2153"/>
    <n v="1098"/>
    <n v="0"/>
    <n v="1"/>
    <n v="0.50998606595448215"/>
    <n v="8.8248954946586161E-2"/>
    <n v="0.19600557361820714"/>
  </r>
  <r>
    <s v="Article_1"/>
    <x v="0"/>
    <x v="0"/>
    <n v="1047"/>
    <x v="101"/>
    <n v="1148"/>
    <x v="99"/>
    <n v="0"/>
    <n v="16325"/>
    <n v="2985"/>
    <n v="517"/>
    <n v="5758"/>
    <n v="2985"/>
    <n v="0"/>
    <n v="1"/>
    <n v="0.51840916985064256"/>
    <n v="8.9788120875303926E-2"/>
    <n v="0.19937478291073291"/>
  </r>
  <r>
    <s v="Article_1"/>
    <x v="0"/>
    <x v="0"/>
    <n v="1047"/>
    <x v="102"/>
    <n v="260"/>
    <x v="100"/>
    <n v="0"/>
    <n v="2538"/>
    <n v="677"/>
    <n v="117"/>
    <n v="1313"/>
    <n v="677"/>
    <n v="0"/>
    <n v="1"/>
    <n v="0.51561309977151559"/>
    <n v="8.9108910891089105E-2"/>
    <n v="0.19801980198019803"/>
  </r>
  <r>
    <s v="Article_1"/>
    <x v="0"/>
    <x v="0"/>
    <n v="1047"/>
    <x v="103"/>
    <n v="515"/>
    <x v="101"/>
    <n v="0"/>
    <n v="6645"/>
    <n v="1338"/>
    <n v="232"/>
    <n v="2579"/>
    <n v="1338"/>
    <n v="0"/>
    <n v="1"/>
    <n v="0.51880573865839474"/>
    <n v="8.9957347809228386E-2"/>
    <n v="0.19968980224893371"/>
  </r>
  <r>
    <s v="Article_1"/>
    <x v="0"/>
    <x v="0"/>
    <n v="1047"/>
    <x v="104"/>
    <n v="126"/>
    <x v="89"/>
    <n v="0"/>
    <n v="1187"/>
    <n v="328"/>
    <n v="57"/>
    <n v="678"/>
    <n v="328"/>
    <n v="0"/>
    <n v="1"/>
    <n v="0.48377581120943952"/>
    <n v="8.4070796460176997E-2"/>
    <n v="0.18584070796460178"/>
  </r>
  <r>
    <s v="Article_1"/>
    <x v="0"/>
    <x v="0"/>
    <n v="1047"/>
    <x v="105"/>
    <n v="67"/>
    <x v="102"/>
    <n v="0"/>
    <n v="579"/>
    <n v="175"/>
    <n v="30"/>
    <n v="415"/>
    <n v="175"/>
    <n v="0"/>
    <n v="1"/>
    <n v="0.42168674698795183"/>
    <n v="7.2289156626506021E-2"/>
    <n v="0.16144578313253011"/>
  </r>
  <r>
    <s v="Article_1"/>
    <x v="0"/>
    <x v="0"/>
    <n v="1047"/>
    <x v="106"/>
    <n v="211"/>
    <x v="103"/>
    <n v="0"/>
    <n v="1154"/>
    <n v="548"/>
    <n v="95"/>
    <n v="1076"/>
    <n v="548"/>
    <n v="0"/>
    <n v="1"/>
    <n v="0.50929368029739774"/>
    <n v="8.8289962825278817E-2"/>
    <n v="0.19609665427509293"/>
  </r>
  <r>
    <s v="Article_1"/>
    <x v="0"/>
    <x v="0"/>
    <n v="1047"/>
    <x v="107"/>
    <n v="160"/>
    <x v="104"/>
    <n v="0"/>
    <n v="912"/>
    <n v="416"/>
    <n v="72"/>
    <n v="815"/>
    <n v="416"/>
    <n v="0"/>
    <n v="1"/>
    <n v="0.51042944785276079"/>
    <n v="8.8343558282208592E-2"/>
    <n v="0.19631901840490798"/>
  </r>
  <r>
    <s v="Article_1"/>
    <x v="0"/>
    <x v="0"/>
    <n v="1047"/>
    <x v="108"/>
    <n v="681"/>
    <x v="105"/>
    <n v="0"/>
    <n v="12123"/>
    <n v="1770"/>
    <n v="306"/>
    <n v="3486"/>
    <n v="1770"/>
    <n v="0"/>
    <n v="1"/>
    <n v="0.50774526678141141"/>
    <n v="8.7779690189328741E-2"/>
    <n v="0.19535283993115318"/>
  </r>
  <r>
    <s v="Article_1"/>
    <x v="0"/>
    <x v="0"/>
    <n v="1047"/>
    <x v="109"/>
    <n v="721"/>
    <x v="106"/>
    <n v="0"/>
    <n v="6748"/>
    <n v="1874"/>
    <n v="324"/>
    <n v="3631"/>
    <n v="1874"/>
    <n v="0"/>
    <n v="1"/>
    <n v="0.51611126411456898"/>
    <n v="8.9231616634535937E-2"/>
    <n v="0.19856788763426053"/>
  </r>
  <r>
    <s v="Article_1"/>
    <x v="0"/>
    <x v="0"/>
    <n v="1047"/>
    <x v="110"/>
    <n v="247"/>
    <x v="49"/>
    <n v="0"/>
    <n v="2764"/>
    <n v="642"/>
    <n v="111"/>
    <n v="1322"/>
    <n v="642"/>
    <n v="0"/>
    <n v="1"/>
    <n v="0.48562783661119518"/>
    <n v="8.3963691376701968E-2"/>
    <n v="0.18683812405446293"/>
  </r>
  <r>
    <s v="Article_1"/>
    <x v="0"/>
    <x v="0"/>
    <n v="1047"/>
    <x v="111"/>
    <n v="130"/>
    <x v="34"/>
    <n v="0"/>
    <n v="1937"/>
    <n v="338"/>
    <n v="59"/>
    <n v="676"/>
    <n v="338"/>
    <n v="0"/>
    <n v="1"/>
    <n v="0.5"/>
    <n v="8.7278106508875741E-2"/>
    <n v="0.19230769230769232"/>
  </r>
  <r>
    <s v="Article_1"/>
    <x v="0"/>
    <x v="0"/>
    <n v="1047"/>
    <x v="112"/>
    <n v="52"/>
    <x v="107"/>
    <n v="0"/>
    <n v="348"/>
    <n v="135"/>
    <n v="23"/>
    <n v="265"/>
    <n v="135"/>
    <n v="0"/>
    <n v="1"/>
    <n v="0.50943396226415094"/>
    <n v="8.6792452830188674E-2"/>
    <n v="0.19622641509433963"/>
  </r>
  <r>
    <s v="Article_1"/>
    <x v="0"/>
    <x v="0"/>
    <n v="1047"/>
    <x v="113"/>
    <n v="160"/>
    <x v="104"/>
    <n v="0"/>
    <n v="917"/>
    <n v="416"/>
    <n v="72"/>
    <n v="818"/>
    <n v="416"/>
    <n v="0"/>
    <n v="1"/>
    <n v="0.50855745721271395"/>
    <n v="8.8019559902200492E-2"/>
    <n v="0.19559902200488999"/>
  </r>
  <r>
    <s v="Article_1"/>
    <x v="0"/>
    <x v="0"/>
    <n v="1047"/>
    <x v="114"/>
    <n v="177"/>
    <x v="108"/>
    <n v="0"/>
    <n v="1975"/>
    <n v="460"/>
    <n v="80"/>
    <n v="965"/>
    <n v="460"/>
    <n v="0"/>
    <n v="1"/>
    <n v="0.47668393782383417"/>
    <n v="8.2901554404145081E-2"/>
    <n v="0.18341968911917098"/>
  </r>
  <r>
    <s v="Article_1"/>
    <x v="0"/>
    <x v="0"/>
    <n v="1047"/>
    <x v="115"/>
    <n v="340"/>
    <x v="109"/>
    <n v="0"/>
    <n v="3211"/>
    <n v="885"/>
    <n v="153"/>
    <n v="1743"/>
    <n v="885"/>
    <n v="0"/>
    <n v="1"/>
    <n v="0.50774526678141141"/>
    <n v="8.7779690189328741E-2"/>
    <n v="0.19506597819850832"/>
  </r>
  <r>
    <s v="Article_1"/>
    <x v="0"/>
    <x v="0"/>
    <n v="1047"/>
    <x v="116"/>
    <n v="22"/>
    <x v="110"/>
    <n v="0"/>
    <n v="317"/>
    <n v="57"/>
    <n v="10"/>
    <n v="183"/>
    <n v="57"/>
    <n v="0"/>
    <n v="1"/>
    <n v="0.31147540983606559"/>
    <n v="5.4644808743169397E-2"/>
    <n v="0.12021857923497267"/>
  </r>
  <r>
    <s v="Article_1"/>
    <x v="0"/>
    <x v="0"/>
    <n v="1047"/>
    <x v="117"/>
    <n v="112"/>
    <x v="111"/>
    <n v="0"/>
    <n v="2246"/>
    <n v="291"/>
    <n v="50"/>
    <n v="570"/>
    <n v="291"/>
    <n v="0"/>
    <n v="1"/>
    <n v="0.51052631578947372"/>
    <n v="8.771929824561403E-2"/>
    <n v="0.19649122807017544"/>
  </r>
  <r>
    <s v="Article_1"/>
    <x v="0"/>
    <x v="0"/>
    <n v="1047"/>
    <x v="118"/>
    <n v="216"/>
    <x v="112"/>
    <n v="0"/>
    <n v="1701"/>
    <n v="561"/>
    <n v="97"/>
    <n v="1137"/>
    <n v="561"/>
    <n v="0"/>
    <n v="1"/>
    <n v="0.49340369393139843"/>
    <n v="8.5312225153913804E-2"/>
    <n v="0.18997361477572558"/>
  </r>
  <r>
    <s v="Article_1"/>
    <x v="0"/>
    <x v="0"/>
    <n v="1047"/>
    <x v="119"/>
    <n v="94"/>
    <x v="113"/>
    <n v="0"/>
    <n v="1638"/>
    <n v="243"/>
    <n v="42"/>
    <n v="531"/>
    <n v="243"/>
    <n v="0"/>
    <n v="1"/>
    <n v="0.4576271186440678"/>
    <n v="7.909604519774012E-2"/>
    <n v="0.17702448210922786"/>
  </r>
  <r>
    <s v="Article_1"/>
    <x v="0"/>
    <x v="0"/>
    <n v="1047"/>
    <x v="120"/>
    <n v="396"/>
    <x v="114"/>
    <n v="0"/>
    <n v="2273"/>
    <n v="1030"/>
    <n v="178"/>
    <n v="1996"/>
    <n v="1030"/>
    <n v="0"/>
    <n v="1"/>
    <n v="0.51603206412825653"/>
    <n v="8.917835671342686E-2"/>
    <n v="0.19839679358717435"/>
  </r>
  <r>
    <s v="Article_1"/>
    <x v="0"/>
    <x v="0"/>
    <n v="1047"/>
    <x v="121"/>
    <n v="32"/>
    <x v="115"/>
    <n v="0"/>
    <n v="584"/>
    <n v="83"/>
    <n v="14"/>
    <n v="206"/>
    <n v="83"/>
    <n v="0"/>
    <n v="1"/>
    <n v="0.40291262135922329"/>
    <n v="6.7961165048543687E-2"/>
    <n v="0.1553398058252427"/>
  </r>
  <r>
    <s v="Article_1"/>
    <x v="0"/>
    <x v="0"/>
    <n v="1047"/>
    <x v="122"/>
    <n v="86"/>
    <x v="116"/>
    <n v="0"/>
    <n v="1064"/>
    <n v="225"/>
    <n v="39"/>
    <n v="456"/>
    <n v="225"/>
    <n v="0"/>
    <n v="1"/>
    <n v="0.49342105263157893"/>
    <n v="8.5526315789473686E-2"/>
    <n v="0.18859649122807018"/>
  </r>
  <r>
    <s v="Article_1"/>
    <x v="0"/>
    <x v="0"/>
    <n v="1047"/>
    <x v="123"/>
    <n v="75"/>
    <x v="37"/>
    <n v="0"/>
    <n v="1513"/>
    <n v="194"/>
    <n v="34"/>
    <n v="403"/>
    <n v="194"/>
    <n v="0"/>
    <n v="1"/>
    <n v="0.4813895781637717"/>
    <n v="8.4367245657568243E-2"/>
    <n v="0.18610421836228289"/>
  </r>
  <r>
    <s v="Article_1"/>
    <x v="0"/>
    <x v="0"/>
    <n v="1047"/>
    <x v="124"/>
    <n v="238"/>
    <x v="117"/>
    <n v="0"/>
    <n v="3236"/>
    <n v="619"/>
    <n v="107"/>
    <n v="1192"/>
    <n v="619"/>
    <n v="0"/>
    <n v="1"/>
    <n v="0.51929530201342278"/>
    <n v="8.9765100671140935E-2"/>
    <n v="0.19966442953020133"/>
  </r>
  <r>
    <s v="Article_1"/>
    <x v="0"/>
    <x v="0"/>
    <n v="1047"/>
    <x v="125"/>
    <n v="292"/>
    <x v="118"/>
    <n v="0"/>
    <n v="3438"/>
    <n v="759"/>
    <n v="131"/>
    <n v="1518"/>
    <n v="759"/>
    <n v="0"/>
    <n v="1"/>
    <n v="0.5"/>
    <n v="8.6297760210803695E-2"/>
    <n v="0.19235836627140976"/>
  </r>
  <r>
    <s v="Article_1"/>
    <x v="0"/>
    <x v="0"/>
    <n v="1047"/>
    <x v="126"/>
    <n v="771"/>
    <x v="119"/>
    <n v="0"/>
    <n v="9385"/>
    <n v="2004"/>
    <n v="347"/>
    <n v="3945"/>
    <n v="2004"/>
    <n v="0"/>
    <n v="1"/>
    <n v="0.50798479087452475"/>
    <n v="8.7959442332065901E-2"/>
    <n v="0.19543726235741446"/>
  </r>
  <r>
    <s v="Article_1"/>
    <x v="0"/>
    <x v="0"/>
    <n v="1047"/>
    <x v="127"/>
    <n v="134"/>
    <x v="120"/>
    <n v="0"/>
    <n v="889"/>
    <n v="349"/>
    <n v="60"/>
    <n v="736"/>
    <n v="349"/>
    <n v="0"/>
    <n v="1"/>
    <n v="0.47418478260869568"/>
    <n v="8.1521739130434784E-2"/>
    <n v="0.18206521739130435"/>
  </r>
  <r>
    <s v="Article_1"/>
    <x v="0"/>
    <x v="0"/>
    <n v="1047"/>
    <x v="128"/>
    <n v="185"/>
    <x v="121"/>
    <n v="0"/>
    <n v="3250"/>
    <n v="480"/>
    <n v="83"/>
    <n v="931"/>
    <n v="480"/>
    <n v="0"/>
    <n v="1"/>
    <n v="0.51557465091299681"/>
    <n v="8.9151450053705686E-2"/>
    <n v="0.19871106337271752"/>
  </r>
  <r>
    <s v="Article_1"/>
    <x v="0"/>
    <x v="0"/>
    <n v="1047"/>
    <x v="129"/>
    <n v="175"/>
    <x v="122"/>
    <n v="0"/>
    <n v="3772"/>
    <n v="454"/>
    <n v="79"/>
    <n v="953"/>
    <n v="454"/>
    <n v="0"/>
    <n v="1"/>
    <n v="0.47639034627492133"/>
    <n v="8.2896117523609647E-2"/>
    <n v="0.18363064008394545"/>
  </r>
  <r>
    <s v="Article_1"/>
    <x v="0"/>
    <x v="0"/>
    <n v="1047"/>
    <x v="130"/>
    <n v="406"/>
    <x v="123"/>
    <n v="0"/>
    <n v="6417"/>
    <n v="1056"/>
    <n v="183"/>
    <n v="2085"/>
    <n v="1056"/>
    <n v="0"/>
    <n v="1"/>
    <n v="0.5064748201438849"/>
    <n v="8.7769784172661874E-2"/>
    <n v="0.1947242206235012"/>
  </r>
  <r>
    <s v="Article_1"/>
    <x v="0"/>
    <x v="0"/>
    <n v="1047"/>
    <x v="131"/>
    <n v="140"/>
    <x v="124"/>
    <n v="0"/>
    <n v="1586"/>
    <n v="364"/>
    <n v="63"/>
    <n v="792"/>
    <n v="364"/>
    <n v="0"/>
    <n v="1"/>
    <n v="0.45959595959595961"/>
    <n v="7.9545454545454544E-2"/>
    <n v="0.17676767676767677"/>
  </r>
  <r>
    <s v="Article_1"/>
    <x v="0"/>
    <x v="0"/>
    <n v="1047"/>
    <x v="132"/>
    <n v="499"/>
    <x v="125"/>
    <n v="0"/>
    <n v="9342"/>
    <n v="1297"/>
    <n v="224"/>
    <n v="2537"/>
    <n v="1297"/>
    <n v="0"/>
    <n v="1"/>
    <n v="0.51123374063854943"/>
    <n v="8.8293259755616874E-2"/>
    <n v="0.19668900275916437"/>
  </r>
  <r>
    <s v="Article_1"/>
    <x v="0"/>
    <x v="0"/>
    <n v="1047"/>
    <x v="133"/>
    <n v="842"/>
    <x v="126"/>
    <n v="0"/>
    <n v="7680"/>
    <n v="2190"/>
    <n v="379"/>
    <n v="4307"/>
    <n v="2190"/>
    <n v="0"/>
    <n v="1"/>
    <n v="0.50847457627118642"/>
    <n v="8.799628511725098E-2"/>
    <n v="0.19549570466682145"/>
  </r>
  <r>
    <s v="Article_1"/>
    <x v="0"/>
    <x v="0"/>
    <n v="1047"/>
    <x v="134"/>
    <n v="773"/>
    <x v="127"/>
    <n v="0"/>
    <n v="14930"/>
    <n v="2009"/>
    <n v="348"/>
    <n v="3933"/>
    <n v="2009"/>
    <n v="0"/>
    <n v="1"/>
    <n v="0.51080600050851765"/>
    <n v="8.8482074752097642E-2"/>
    <n v="0.19654207983727434"/>
  </r>
  <r>
    <s v="Article_1"/>
    <x v="0"/>
    <x v="0"/>
    <n v="1047"/>
    <x v="135"/>
    <n v="238"/>
    <x v="128"/>
    <n v="0"/>
    <n v="4310"/>
    <n v="618"/>
    <n v="107"/>
    <n v="1219"/>
    <n v="618"/>
    <n v="0"/>
    <n v="1"/>
    <n v="0.50697292863002463"/>
    <n v="8.7776866283839211E-2"/>
    <n v="0.19524200164068908"/>
  </r>
  <r>
    <s v="Article_1"/>
    <x v="0"/>
    <x v="0"/>
    <n v="1047"/>
    <x v="136"/>
    <n v="243"/>
    <x v="129"/>
    <n v="0"/>
    <n v="1673"/>
    <n v="632"/>
    <n v="109"/>
    <n v="1284"/>
    <n v="632"/>
    <n v="0"/>
    <n v="1"/>
    <n v="0.49221183800623053"/>
    <n v="8.4890965732087223E-2"/>
    <n v="0.18925233644859812"/>
  </r>
  <r>
    <s v="Article_1"/>
    <x v="0"/>
    <x v="0"/>
    <n v="1047"/>
    <x v="137"/>
    <n v="647"/>
    <x v="130"/>
    <n v="0"/>
    <n v="12837"/>
    <n v="1682"/>
    <n v="291"/>
    <n v="3329"/>
    <n v="1682"/>
    <n v="0"/>
    <n v="1"/>
    <n v="0.50525683388404929"/>
    <n v="8.7413637729047769E-2"/>
    <n v="0.19435265845599278"/>
  </r>
  <r>
    <s v="Article_1"/>
    <x v="0"/>
    <x v="0"/>
    <n v="1047"/>
    <x v="138"/>
    <n v="425"/>
    <x v="131"/>
    <n v="0"/>
    <n v="7287"/>
    <n v="1104"/>
    <n v="191"/>
    <n v="2154"/>
    <n v="1104"/>
    <n v="0"/>
    <n v="1"/>
    <n v="0.51253481894150421"/>
    <n v="8.8672237697307338E-2"/>
    <n v="0.19730733519034355"/>
  </r>
  <r>
    <s v="Article_1"/>
    <x v="0"/>
    <x v="0"/>
    <n v="1047"/>
    <x v="139"/>
    <n v="1066"/>
    <x v="132"/>
    <n v="0"/>
    <n v="6103"/>
    <n v="2772"/>
    <n v="480"/>
    <n v="5395"/>
    <n v="2772"/>
    <n v="0"/>
    <n v="1"/>
    <n v="0.51380908248378132"/>
    <n v="8.8971269694161262E-2"/>
    <n v="0.19759036144578312"/>
  </r>
  <r>
    <s v="Article_1"/>
    <x v="0"/>
    <x v="0"/>
    <n v="1047"/>
    <x v="140"/>
    <n v="166"/>
    <x v="133"/>
    <n v="0"/>
    <n v="1590"/>
    <n v="433"/>
    <n v="75"/>
    <n v="898"/>
    <n v="433"/>
    <n v="0"/>
    <n v="1"/>
    <n v="0.48218262806236079"/>
    <n v="8.3518930957683743E-2"/>
    <n v="0.18485523385300667"/>
  </r>
  <r>
    <s v="Article_1"/>
    <x v="0"/>
    <x v="0"/>
    <n v="1047"/>
    <x v="141"/>
    <n v="101"/>
    <x v="134"/>
    <n v="0"/>
    <n v="1421"/>
    <n v="262"/>
    <n v="45"/>
    <n v="586"/>
    <n v="262"/>
    <n v="0"/>
    <n v="1"/>
    <n v="0.44709897610921501"/>
    <n v="7.6791808873720141E-2"/>
    <n v="0.17235494880546076"/>
  </r>
  <r>
    <s v="Article_1"/>
    <x v="0"/>
    <x v="0"/>
    <n v="1047"/>
    <x v="142"/>
    <n v="194"/>
    <x v="135"/>
    <n v="0"/>
    <n v="3429"/>
    <n v="503"/>
    <n v="87"/>
    <n v="972"/>
    <n v="503"/>
    <n v="0"/>
    <n v="1"/>
    <n v="0.51748971193415638"/>
    <n v="8.9506172839506168E-2"/>
    <n v="0.19958847736625515"/>
  </r>
  <r>
    <s v="Article_1"/>
    <x v="0"/>
    <x v="0"/>
    <n v="1047"/>
    <x v="143"/>
    <n v="551"/>
    <x v="136"/>
    <n v="0"/>
    <n v="8218"/>
    <n v="1432"/>
    <n v="248"/>
    <n v="2785"/>
    <n v="1432"/>
    <n v="0"/>
    <n v="1"/>
    <n v="0.51418312387791743"/>
    <n v="8.9048473967684019E-2"/>
    <n v="0.1978456014362657"/>
  </r>
  <r>
    <s v="Article_1"/>
    <x v="0"/>
    <x v="0"/>
    <n v="1047"/>
    <x v="144"/>
    <n v="707"/>
    <x v="137"/>
    <n v="0"/>
    <n v="4986"/>
    <n v="1838"/>
    <n v="318"/>
    <n v="3604"/>
    <n v="1838"/>
    <n v="0"/>
    <n v="1"/>
    <n v="0.50998890122086571"/>
    <n v="8.8235294117647065E-2"/>
    <n v="0.19617092119866814"/>
  </r>
  <r>
    <s v="Article_1"/>
    <x v="0"/>
    <x v="0"/>
    <n v="1047"/>
    <x v="145"/>
    <n v="518"/>
    <x v="138"/>
    <n v="0"/>
    <n v="7551"/>
    <n v="1348"/>
    <n v="233"/>
    <n v="2677"/>
    <n v="1348"/>
    <n v="0"/>
    <n v="1"/>
    <n v="0.5035487485991782"/>
    <n v="8.7037728800896524E-2"/>
    <n v="0.19350018677624206"/>
  </r>
  <r>
    <s v="Article_1"/>
    <x v="0"/>
    <x v="0"/>
    <n v="1047"/>
    <x v="146"/>
    <n v="640"/>
    <x v="139"/>
    <n v="0"/>
    <n v="11594"/>
    <n v="1664"/>
    <n v="288"/>
    <n v="3202"/>
    <n v="1664"/>
    <n v="0"/>
    <n v="1"/>
    <n v="0.5196752029981262"/>
    <n v="8.9943785134291063E-2"/>
    <n v="0.19987507807620236"/>
  </r>
  <r>
    <s v="Article_1"/>
    <x v="0"/>
    <x v="0"/>
    <n v="1047"/>
    <x v="147"/>
    <n v="312"/>
    <x v="140"/>
    <n v="0"/>
    <n v="2592"/>
    <n v="810"/>
    <n v="140"/>
    <n v="1587"/>
    <n v="810"/>
    <n v="0"/>
    <n v="1"/>
    <n v="0.5103969754253308"/>
    <n v="8.8216761184625084E-2"/>
    <n v="0.19659735349716445"/>
  </r>
  <r>
    <s v="Article_1"/>
    <x v="0"/>
    <x v="0"/>
    <n v="1047"/>
    <x v="148"/>
    <n v="29"/>
    <x v="141"/>
    <n v="0"/>
    <n v="647"/>
    <n v="76"/>
    <n v="13"/>
    <n v="208"/>
    <n v="76"/>
    <n v="0"/>
    <n v="1"/>
    <n v="0.36538461538461536"/>
    <n v="6.25E-2"/>
    <n v="0.13942307692307693"/>
  </r>
  <r>
    <s v="Article_1"/>
    <x v="0"/>
    <x v="0"/>
    <n v="1047"/>
    <x v="149"/>
    <n v="232"/>
    <x v="142"/>
    <n v="0"/>
    <n v="2775"/>
    <n v="603"/>
    <n v="104"/>
    <n v="1168"/>
    <n v="603"/>
    <n v="0"/>
    <n v="1"/>
    <n v="0.51626712328767121"/>
    <n v="8.9041095890410954E-2"/>
    <n v="0.19863013698630136"/>
  </r>
  <r>
    <s v="Article_1"/>
    <x v="0"/>
    <x v="0"/>
    <n v="1047"/>
    <x v="150"/>
    <n v="60"/>
    <x v="143"/>
    <n v="0"/>
    <n v="1154"/>
    <n v="156"/>
    <n v="27"/>
    <n v="383"/>
    <n v="156"/>
    <n v="0"/>
    <n v="1"/>
    <n v="0.40731070496083549"/>
    <n v="7.0496083550913843E-2"/>
    <n v="0.1566579634464752"/>
  </r>
  <r>
    <s v="Article_1"/>
    <x v="0"/>
    <x v="0"/>
    <n v="1047"/>
    <x v="151"/>
    <n v="101"/>
    <x v="144"/>
    <n v="0"/>
    <n v="1724"/>
    <n v="263"/>
    <n v="46"/>
    <n v="543"/>
    <n v="263"/>
    <n v="0"/>
    <n v="1"/>
    <n v="0.48434622467771637"/>
    <n v="8.4714548802946599E-2"/>
    <n v="0.1860036832412523"/>
  </r>
  <r>
    <s v="Article_1"/>
    <x v="0"/>
    <x v="0"/>
    <n v="1047"/>
    <x v="152"/>
    <n v="455"/>
    <x v="145"/>
    <n v="0"/>
    <n v="7839"/>
    <n v="1184"/>
    <n v="205"/>
    <n v="2296"/>
    <n v="1184"/>
    <n v="0"/>
    <n v="1"/>
    <n v="0.51567944250871078"/>
    <n v="8.9285714285714288E-2"/>
    <n v="0.19817073170731708"/>
  </r>
  <r>
    <s v="Article_1"/>
    <x v="0"/>
    <x v="0"/>
    <n v="1047"/>
    <x v="153"/>
    <n v="11"/>
    <x v="146"/>
    <n v="0"/>
    <n v="483"/>
    <n v="29"/>
    <n v="5"/>
    <n v="130"/>
    <n v="29"/>
    <n v="0"/>
    <n v="1"/>
    <n v="0.22307692307692309"/>
    <n v="3.8461538461538464E-2"/>
    <n v="8.461538461538462E-2"/>
  </r>
  <r>
    <s v="Article_1"/>
    <x v="0"/>
    <x v="0"/>
    <n v="1047"/>
    <x v="154"/>
    <n v="528"/>
    <x v="147"/>
    <n v="0"/>
    <n v="8258"/>
    <n v="1373"/>
    <n v="238"/>
    <n v="2691"/>
    <n v="1373"/>
    <n v="0"/>
    <n v="1"/>
    <n v="0.5102192493496841"/>
    <n v="8.8442958008175393E-2"/>
    <n v="0.19620958751393533"/>
  </r>
  <r>
    <s v="Article_1"/>
    <x v="0"/>
    <x v="0"/>
    <n v="1047"/>
    <x v="155"/>
    <n v="35"/>
    <x v="148"/>
    <n v="32"/>
    <n v="285"/>
    <n v="92"/>
    <n v="16"/>
    <n v="232"/>
    <n v="124"/>
    <n v="0.25806451612903225"/>
    <n v="0.74193548387096775"/>
    <n v="0.53448275862068961"/>
    <n v="6.8965517241379309E-2"/>
    <n v="0.15086206896551724"/>
  </r>
  <r>
    <s v="Article_1"/>
    <x v="0"/>
    <x v="0"/>
    <n v="1047"/>
    <x v="156"/>
    <n v="1674"/>
    <x v="149"/>
    <n v="0"/>
    <n v="33173"/>
    <n v="4352"/>
    <n v="753"/>
    <n v="8462"/>
    <n v="4352"/>
    <n v="0"/>
    <n v="1"/>
    <n v="0.51429922004254314"/>
    <n v="8.8986055306074216E-2"/>
    <n v="0.19782557315055543"/>
  </r>
  <r>
    <s v="Article_1"/>
    <x v="0"/>
    <x v="0"/>
    <n v="1047"/>
    <x v="157"/>
    <n v="26"/>
    <x v="150"/>
    <n v="0"/>
    <n v="864"/>
    <n v="69"/>
    <n v="12"/>
    <n v="222"/>
    <n v="69"/>
    <n v="0"/>
    <n v="1"/>
    <n v="0.3108108108108108"/>
    <n v="5.4054054054054057E-2"/>
    <n v="0.11711711711711711"/>
  </r>
  <r>
    <s v="Article_1"/>
    <x v="0"/>
    <x v="0"/>
    <n v="1047"/>
    <x v="158"/>
    <n v="20"/>
    <x v="151"/>
    <n v="0"/>
    <n v="563"/>
    <n v="51"/>
    <n v="9"/>
    <n v="178"/>
    <n v="51"/>
    <n v="0"/>
    <n v="1"/>
    <n v="0.28651685393258425"/>
    <n v="5.0561797752808987E-2"/>
    <n v="0.11235955056179775"/>
  </r>
  <r>
    <s v="Article_1"/>
    <x v="0"/>
    <x v="0"/>
    <n v="1047"/>
    <x v="159"/>
    <n v="129"/>
    <x v="152"/>
    <n v="0"/>
    <n v="2539"/>
    <n v="335"/>
    <n v="58"/>
    <n v="652"/>
    <n v="335"/>
    <n v="0"/>
    <n v="1"/>
    <n v="0.51380368098159512"/>
    <n v="8.8957055214723926E-2"/>
    <n v="0.19785276073619631"/>
  </r>
  <r>
    <s v="Article_1"/>
    <x v="0"/>
    <x v="0"/>
    <n v="1047"/>
    <x v="160"/>
    <n v="1238"/>
    <x v="153"/>
    <n v="0"/>
    <n v="19237"/>
    <n v="3218"/>
    <n v="557"/>
    <n v="6211"/>
    <n v="3218"/>
    <n v="0"/>
    <n v="1"/>
    <n v="0.51811302527773306"/>
    <n v="8.9679600708420543E-2"/>
    <n v="0.19932378038963131"/>
  </r>
  <r>
    <s v="Article_1"/>
    <x v="0"/>
    <x v="0"/>
    <n v="1047"/>
    <x v="161"/>
    <n v="141"/>
    <x v="154"/>
    <n v="0"/>
    <n v="1960"/>
    <n v="366"/>
    <n v="63"/>
    <n v="765"/>
    <n v="366"/>
    <n v="0"/>
    <n v="1"/>
    <n v="0.47843137254901963"/>
    <n v="8.2352941176470587E-2"/>
    <n v="0.18431372549019609"/>
  </r>
  <r>
    <s v="Article_1"/>
    <x v="0"/>
    <x v="0"/>
    <n v="1047"/>
    <x v="162"/>
    <n v="36"/>
    <x v="155"/>
    <n v="0"/>
    <n v="502"/>
    <n v="94"/>
    <n v="16"/>
    <n v="222"/>
    <n v="94"/>
    <n v="0"/>
    <n v="1"/>
    <n v="0.42342342342342343"/>
    <n v="7.2072072072072071E-2"/>
    <n v="0.16216216216216217"/>
  </r>
  <r>
    <s v="Article_1"/>
    <x v="0"/>
    <x v="0"/>
    <n v="1047"/>
    <x v="163"/>
    <n v="168"/>
    <x v="156"/>
    <n v="0"/>
    <n v="2507"/>
    <n v="437"/>
    <n v="76"/>
    <n v="863"/>
    <n v="437"/>
    <n v="0"/>
    <n v="1"/>
    <n v="0.50637311703360366"/>
    <n v="8.8064889918887598E-2"/>
    <n v="0.19466975666280417"/>
  </r>
  <r>
    <s v="Article_1"/>
    <x v="0"/>
    <x v="0"/>
    <n v="1047"/>
    <x v="164"/>
    <n v="72"/>
    <x v="157"/>
    <n v="0"/>
    <n v="1139"/>
    <n v="187"/>
    <n v="32"/>
    <n v="449"/>
    <n v="187"/>
    <n v="0"/>
    <n v="1"/>
    <n v="0.41648106904231624"/>
    <n v="7.126948775055679E-2"/>
    <n v="0.16035634743875279"/>
  </r>
  <r>
    <s v="Article_1"/>
    <x v="0"/>
    <x v="0"/>
    <n v="1047"/>
    <x v="165"/>
    <n v="3208"/>
    <x v="158"/>
    <n v="0"/>
    <n v="38836"/>
    <n v="8340"/>
    <n v="1443"/>
    <n v="16105"/>
    <n v="8340"/>
    <n v="0"/>
    <n v="1"/>
    <n v="0.51785159888233467"/>
    <n v="8.9599503259857188E-2"/>
    <n v="0.19919279726792921"/>
  </r>
  <r>
    <s v="Article_1"/>
    <x v="0"/>
    <x v="0"/>
    <n v="1047"/>
    <x v="166"/>
    <n v="118"/>
    <x v="159"/>
    <n v="0"/>
    <n v="1668"/>
    <n v="306"/>
    <n v="53"/>
    <n v="627"/>
    <n v="306"/>
    <n v="0"/>
    <n v="1"/>
    <n v="0.48803827751196172"/>
    <n v="8.4529505582137163E-2"/>
    <n v="0.18819776714513556"/>
  </r>
  <r>
    <s v="Article_1"/>
    <x v="0"/>
    <x v="0"/>
    <n v="1047"/>
    <x v="167"/>
    <n v="172"/>
    <x v="160"/>
    <n v="0"/>
    <n v="2539"/>
    <n v="446"/>
    <n v="77"/>
    <n v="924"/>
    <n v="446"/>
    <n v="0"/>
    <n v="1"/>
    <n v="0.48268398268398266"/>
    <n v="8.3333333333333329E-2"/>
    <n v="0.18614718614718614"/>
  </r>
  <r>
    <s v="Article_1"/>
    <x v="0"/>
    <x v="0"/>
    <n v="1047"/>
    <x v="168"/>
    <n v="17"/>
    <x v="161"/>
    <n v="0"/>
    <n v="315"/>
    <n v="44"/>
    <n v="8"/>
    <n v="132"/>
    <n v="44"/>
    <n v="0"/>
    <n v="1"/>
    <n v="0.33333333333333331"/>
    <n v="6.0606060606060608E-2"/>
    <n v="0.12878787878787878"/>
  </r>
  <r>
    <s v="Article_1"/>
    <x v="0"/>
    <x v="0"/>
    <n v="1047"/>
    <x v="169"/>
    <n v="153"/>
    <x v="162"/>
    <n v="0"/>
    <n v="2107"/>
    <n v="398"/>
    <n v="69"/>
    <n v="815"/>
    <n v="398"/>
    <n v="0"/>
    <n v="1"/>
    <n v="0.4883435582822086"/>
    <n v="8.4662576687116561E-2"/>
    <n v="0.18773006134969325"/>
  </r>
  <r>
    <s v="Article_1"/>
    <x v="0"/>
    <x v="0"/>
    <n v="1047"/>
    <x v="170"/>
    <n v="316"/>
    <x v="163"/>
    <n v="0"/>
    <n v="3159"/>
    <n v="822"/>
    <n v="142"/>
    <n v="1649"/>
    <n v="822"/>
    <n v="0"/>
    <n v="1"/>
    <n v="0.49848392965433597"/>
    <n v="8.6112795633717404E-2"/>
    <n v="0.19163129169193452"/>
  </r>
  <r>
    <s v="Article_1"/>
    <x v="0"/>
    <x v="0"/>
    <n v="1047"/>
    <x v="171"/>
    <n v="336"/>
    <x v="164"/>
    <n v="0"/>
    <n v="2289"/>
    <n v="874"/>
    <n v="151"/>
    <n v="1768"/>
    <n v="874"/>
    <n v="0"/>
    <n v="1"/>
    <n v="0.49434389140271495"/>
    <n v="8.5407239819004527E-2"/>
    <n v="0.19004524886877827"/>
  </r>
  <r>
    <s v="Article_1"/>
    <x v="0"/>
    <x v="0"/>
    <n v="1047"/>
    <x v="172"/>
    <n v="81"/>
    <x v="165"/>
    <n v="0"/>
    <n v="1252"/>
    <n v="210"/>
    <n v="36"/>
    <n v="447"/>
    <n v="210"/>
    <n v="0"/>
    <n v="1"/>
    <n v="0.46979865771812079"/>
    <n v="8.0536912751677847E-2"/>
    <n v="0.18120805369127516"/>
  </r>
  <r>
    <s v="Article_1"/>
    <x v="0"/>
    <x v="0"/>
    <n v="1047"/>
    <x v="173"/>
    <n v="207"/>
    <x v="166"/>
    <n v="0"/>
    <n v="2868"/>
    <n v="538"/>
    <n v="93"/>
    <n v="1110"/>
    <n v="538"/>
    <n v="0"/>
    <n v="1"/>
    <n v="0.48468468468468467"/>
    <n v="8.3783783783783788E-2"/>
    <n v="0.1864864864864865"/>
  </r>
  <r>
    <s v="Article_1"/>
    <x v="0"/>
    <x v="0"/>
    <n v="1047"/>
    <x v="174"/>
    <n v="574"/>
    <x v="167"/>
    <n v="0"/>
    <n v="3141"/>
    <n v="1492"/>
    <n v="258"/>
    <n v="2895"/>
    <n v="1492"/>
    <n v="0"/>
    <n v="1"/>
    <n v="0.51537132987910195"/>
    <n v="8.9119170984455959E-2"/>
    <n v="0.19827288428324696"/>
  </r>
  <r>
    <s v="Article_1"/>
    <x v="0"/>
    <x v="0"/>
    <n v="1047"/>
    <x v="175"/>
    <n v="118"/>
    <x v="159"/>
    <n v="0"/>
    <n v="2490"/>
    <n v="306"/>
    <n v="53"/>
    <n v="639"/>
    <n v="306"/>
    <n v="0"/>
    <n v="1"/>
    <n v="0.47887323943661969"/>
    <n v="8.2942097026604072E-2"/>
    <n v="0.18466353677621283"/>
  </r>
  <r>
    <s v="Article_1"/>
    <x v="0"/>
    <x v="0"/>
    <n v="1047"/>
    <x v="176"/>
    <n v="624"/>
    <x v="168"/>
    <n v="0"/>
    <n v="12596"/>
    <n v="1622"/>
    <n v="281"/>
    <n v="3206"/>
    <n v="1622"/>
    <n v="0"/>
    <n v="1"/>
    <n v="0.50592638802245793"/>
    <n v="8.7648159700561445E-2"/>
    <n v="0.19463505926388022"/>
  </r>
  <r>
    <s v="Article_1"/>
    <x v="0"/>
    <x v="0"/>
    <n v="1047"/>
    <x v="177"/>
    <n v="533"/>
    <x v="169"/>
    <n v="0"/>
    <n v="6857"/>
    <n v="1386"/>
    <n v="240"/>
    <n v="2703"/>
    <n v="1386"/>
    <n v="0"/>
    <n v="1"/>
    <n v="0.51276359600443955"/>
    <n v="8.8790233074361818E-2"/>
    <n v="0.19718830928597855"/>
  </r>
  <r>
    <s v="Article_1"/>
    <x v="0"/>
    <x v="0"/>
    <n v="1047"/>
    <x v="178"/>
    <n v="765"/>
    <x v="170"/>
    <n v="0"/>
    <n v="9120"/>
    <n v="1990"/>
    <n v="344"/>
    <n v="3912"/>
    <n v="1990"/>
    <n v="0"/>
    <n v="1"/>
    <n v="0.50869120654396727"/>
    <n v="8.7934560327198361E-2"/>
    <n v="0.19555214723926381"/>
  </r>
  <r>
    <s v="Article_1"/>
    <x v="0"/>
    <x v="0"/>
    <n v="1047"/>
    <x v="179"/>
    <n v="1006"/>
    <x v="171"/>
    <n v="0"/>
    <n v="11853"/>
    <n v="2617"/>
    <n v="453"/>
    <n v="5039"/>
    <n v="2617"/>
    <n v="0"/>
    <n v="1"/>
    <n v="0.51934907719785672"/>
    <n v="8.9898789442349678E-2"/>
    <n v="0.19964278626711648"/>
  </r>
  <r>
    <s v="Article_1"/>
    <x v="0"/>
    <x v="0"/>
    <n v="1047"/>
    <x v="180"/>
    <n v="916"/>
    <x v="172"/>
    <n v="0"/>
    <n v="15768"/>
    <n v="2383"/>
    <n v="412"/>
    <n v="4651"/>
    <n v="2383"/>
    <n v="0"/>
    <n v="1"/>
    <n v="0.51236293270264455"/>
    <n v="8.8583100408514304E-2"/>
    <n v="0.19694689314125993"/>
  </r>
  <r>
    <s v="Article_1"/>
    <x v="0"/>
    <x v="0"/>
    <n v="1047"/>
    <x v="181"/>
    <n v="46"/>
    <x v="51"/>
    <n v="0"/>
    <n v="529"/>
    <n v="120"/>
    <n v="21"/>
    <n v="239"/>
    <n v="120"/>
    <n v="0"/>
    <n v="1"/>
    <n v="0.502092050209205"/>
    <n v="8.7866108786610872E-2"/>
    <n v="0.19246861924686193"/>
  </r>
  <r>
    <s v="Article_1"/>
    <x v="0"/>
    <x v="0"/>
    <n v="1047"/>
    <x v="182"/>
    <n v="36"/>
    <x v="155"/>
    <n v="0"/>
    <n v="280"/>
    <n v="95"/>
    <n v="16"/>
    <n v="233"/>
    <n v="95"/>
    <n v="0"/>
    <n v="1"/>
    <n v="0.40772532188841204"/>
    <n v="6.8669527896995708E-2"/>
    <n v="0.15450643776824036"/>
  </r>
  <r>
    <s v="Article_10"/>
    <x v="1"/>
    <x v="1"/>
    <n v="1047"/>
    <x v="1"/>
    <n v="63"/>
    <x v="173"/>
    <n v="0"/>
    <n v="1580"/>
    <n v="164"/>
    <n v="28"/>
    <n v="409"/>
    <n v="164"/>
    <n v="0"/>
    <n v="1"/>
    <n v="0.40097799511002447"/>
    <n v="6.8459657701711488E-2"/>
    <n v="0.15403422982885084"/>
  </r>
  <r>
    <s v="Article_10"/>
    <x v="1"/>
    <x v="1"/>
    <n v="1047"/>
    <x v="2"/>
    <n v="29"/>
    <x v="141"/>
    <n v="0"/>
    <n v="442"/>
    <n v="76"/>
    <n v="13"/>
    <n v="173"/>
    <n v="76"/>
    <n v="0"/>
    <n v="1"/>
    <n v="0.43930635838150289"/>
    <n v="7.5144508670520235E-2"/>
    <n v="0.16763005780346821"/>
  </r>
  <r>
    <s v="Article_10"/>
    <x v="1"/>
    <x v="1"/>
    <n v="1047"/>
    <x v="3"/>
    <n v="14"/>
    <x v="174"/>
    <n v="0"/>
    <n v="430"/>
    <n v="36"/>
    <n v="6"/>
    <n v="117"/>
    <n v="36"/>
    <n v="0"/>
    <n v="1"/>
    <n v="0.30769230769230771"/>
    <n v="5.128205128205128E-2"/>
    <n v="0.11965811965811966"/>
  </r>
  <r>
    <s v="Article_10"/>
    <x v="1"/>
    <x v="1"/>
    <n v="1047"/>
    <x v="4"/>
    <n v="136"/>
    <x v="175"/>
    <n v="0"/>
    <n v="2146"/>
    <n v="353"/>
    <n v="61"/>
    <n v="702"/>
    <n v="353"/>
    <n v="0"/>
    <n v="1"/>
    <n v="0.5028490028490028"/>
    <n v="8.68945868945869E-2"/>
    <n v="0.19373219373219372"/>
  </r>
  <r>
    <s v="Article_10"/>
    <x v="1"/>
    <x v="1"/>
    <n v="1047"/>
    <x v="5"/>
    <n v="294"/>
    <x v="176"/>
    <n v="0"/>
    <n v="5686"/>
    <n v="765"/>
    <n v="132"/>
    <n v="1495"/>
    <n v="765"/>
    <n v="0"/>
    <n v="1"/>
    <n v="0.51170568561872909"/>
    <n v="8.8294314381270902E-2"/>
    <n v="0.19665551839464884"/>
  </r>
  <r>
    <s v="Article_10"/>
    <x v="1"/>
    <x v="1"/>
    <n v="1047"/>
    <x v="6"/>
    <n v="180"/>
    <x v="177"/>
    <n v="0"/>
    <n v="1754"/>
    <n v="467"/>
    <n v="81"/>
    <n v="964"/>
    <n v="467"/>
    <n v="0"/>
    <n v="1"/>
    <n v="0.48443983402489627"/>
    <n v="8.4024896265560173E-2"/>
    <n v="0.18672199170124482"/>
  </r>
  <r>
    <s v="Article_10"/>
    <x v="1"/>
    <x v="1"/>
    <n v="1047"/>
    <x v="7"/>
    <n v="27"/>
    <x v="178"/>
    <n v="0"/>
    <n v="285"/>
    <n v="70"/>
    <n v="12"/>
    <n v="147"/>
    <n v="70"/>
    <n v="0"/>
    <n v="1"/>
    <n v="0.47619047619047616"/>
    <n v="8.1632653061224483E-2"/>
    <n v="0.18367346938775511"/>
  </r>
  <r>
    <s v="Article_10"/>
    <x v="1"/>
    <x v="1"/>
    <n v="1047"/>
    <x v="8"/>
    <n v="28"/>
    <x v="179"/>
    <n v="0"/>
    <n v="547"/>
    <n v="72"/>
    <n v="12"/>
    <n v="162"/>
    <n v="72"/>
    <n v="0"/>
    <n v="1"/>
    <n v="0.44444444444444442"/>
    <n v="7.407407407407407E-2"/>
    <n v="0.1728395061728395"/>
  </r>
  <r>
    <s v="Article_10"/>
    <x v="1"/>
    <x v="1"/>
    <n v="1047"/>
    <x v="9"/>
    <n v="35"/>
    <x v="180"/>
    <n v="0"/>
    <n v="246"/>
    <n v="92"/>
    <n v="16"/>
    <n v="191"/>
    <n v="92"/>
    <n v="0"/>
    <n v="1"/>
    <n v="0.48167539267015708"/>
    <n v="8.3769633507853408E-2"/>
    <n v="0.18324607329842932"/>
  </r>
  <r>
    <s v="Article_10"/>
    <x v="1"/>
    <x v="1"/>
    <n v="1047"/>
    <x v="10"/>
    <n v="0"/>
    <x v="181"/>
    <n v="0"/>
    <n v="191"/>
    <n v="0"/>
    <n v="0"/>
    <n v="53"/>
    <n v="0"/>
    <s v=""/>
    <s v=""/>
    <n v="0"/>
    <n v="0"/>
    <n v="0"/>
  </r>
  <r>
    <s v="Article_10"/>
    <x v="1"/>
    <x v="1"/>
    <n v="1047"/>
    <x v="11"/>
    <n v="9"/>
    <x v="182"/>
    <n v="0"/>
    <n v="136"/>
    <n v="23"/>
    <n v="4"/>
    <n v="45"/>
    <n v="23"/>
    <n v="0"/>
    <n v="1"/>
    <n v="0.51111111111111107"/>
    <n v="8.8888888888888892E-2"/>
    <n v="0.2"/>
  </r>
  <r>
    <s v="Article_10"/>
    <x v="1"/>
    <x v="1"/>
    <n v="1047"/>
    <x v="12"/>
    <n v="12"/>
    <x v="183"/>
    <n v="0"/>
    <n v="184"/>
    <n v="32"/>
    <n v="6"/>
    <n v="77"/>
    <n v="32"/>
    <n v="0"/>
    <n v="1"/>
    <n v="0.41558441558441561"/>
    <n v="7.792207792207792E-2"/>
    <n v="0.15584415584415584"/>
  </r>
  <r>
    <s v="Article_10"/>
    <x v="1"/>
    <x v="1"/>
    <n v="1047"/>
    <x v="13"/>
    <n v="40"/>
    <x v="184"/>
    <n v="0"/>
    <n v="957"/>
    <n v="104"/>
    <n v="18"/>
    <n v="257"/>
    <n v="104"/>
    <n v="0"/>
    <n v="1"/>
    <n v="0.40466926070038911"/>
    <n v="7.0038910505836577E-2"/>
    <n v="0.1556420233463035"/>
  </r>
  <r>
    <s v="Article_10"/>
    <x v="1"/>
    <x v="1"/>
    <n v="1047"/>
    <x v="15"/>
    <n v="9"/>
    <x v="182"/>
    <n v="0"/>
    <n v="123"/>
    <n v="23"/>
    <n v="4"/>
    <n v="74"/>
    <n v="23"/>
    <n v="0"/>
    <n v="1"/>
    <n v="0.3108108108108108"/>
    <n v="5.4054054054054057E-2"/>
    <n v="0.12162162162162163"/>
  </r>
  <r>
    <s v="Article_10"/>
    <x v="1"/>
    <x v="1"/>
    <n v="1047"/>
    <x v="16"/>
    <n v="0"/>
    <x v="181"/>
    <n v="0"/>
    <n v="69"/>
    <n v="0"/>
    <n v="0"/>
    <n v="21"/>
    <n v="0"/>
    <s v=""/>
    <s v=""/>
    <n v="0"/>
    <n v="0"/>
    <n v="0"/>
  </r>
  <r>
    <s v="Article_10"/>
    <x v="1"/>
    <x v="1"/>
    <n v="1047"/>
    <x v="17"/>
    <n v="72"/>
    <x v="157"/>
    <n v="0"/>
    <n v="892"/>
    <n v="187"/>
    <n v="32"/>
    <n v="372"/>
    <n v="187"/>
    <n v="0"/>
    <n v="1"/>
    <n v="0.50268817204301075"/>
    <n v="8.6021505376344093E-2"/>
    <n v="0.19354838709677419"/>
  </r>
  <r>
    <s v="Article_10"/>
    <x v="1"/>
    <x v="1"/>
    <n v="1047"/>
    <x v="19"/>
    <n v="90"/>
    <x v="185"/>
    <n v="0"/>
    <n v="1111"/>
    <n v="234"/>
    <n v="41"/>
    <n v="519"/>
    <n v="234"/>
    <n v="0"/>
    <n v="1"/>
    <n v="0.45086705202312138"/>
    <n v="7.8998073217726394E-2"/>
    <n v="0.17341040462427745"/>
  </r>
  <r>
    <s v="Article_10"/>
    <x v="1"/>
    <x v="1"/>
    <n v="1047"/>
    <x v="20"/>
    <n v="22"/>
    <x v="110"/>
    <n v="0"/>
    <n v="630"/>
    <n v="56"/>
    <n v="10"/>
    <n v="162"/>
    <n v="56"/>
    <n v="0"/>
    <n v="1"/>
    <n v="0.34567901234567899"/>
    <n v="6.1728395061728392E-2"/>
    <n v="0.13580246913580246"/>
  </r>
  <r>
    <s v="Article_10"/>
    <x v="1"/>
    <x v="1"/>
    <n v="1047"/>
    <x v="21"/>
    <n v="38"/>
    <x v="186"/>
    <n v="0"/>
    <n v="602"/>
    <n v="99"/>
    <n v="17"/>
    <n v="198"/>
    <n v="99"/>
    <n v="0"/>
    <n v="1"/>
    <n v="0.5"/>
    <n v="8.5858585858585856E-2"/>
    <n v="0.19191919191919191"/>
  </r>
  <r>
    <s v="Article_10"/>
    <x v="1"/>
    <x v="1"/>
    <n v="1047"/>
    <x v="23"/>
    <n v="98"/>
    <x v="187"/>
    <n v="0"/>
    <n v="1725"/>
    <n v="254"/>
    <n v="44"/>
    <n v="543"/>
    <n v="254"/>
    <n v="0"/>
    <n v="1"/>
    <n v="0.4677716390423573"/>
    <n v="8.1031307550644568E-2"/>
    <n v="0.18047882136279927"/>
  </r>
  <r>
    <s v="Article_10"/>
    <x v="1"/>
    <x v="1"/>
    <n v="1047"/>
    <x v="25"/>
    <n v="0"/>
    <x v="181"/>
    <n v="0"/>
    <n v="57"/>
    <n v="0"/>
    <n v="0"/>
    <n v="25"/>
    <n v="0"/>
    <s v=""/>
    <s v=""/>
    <n v="0"/>
    <n v="0"/>
    <n v="0"/>
  </r>
  <r>
    <s v="Article_10"/>
    <x v="1"/>
    <x v="1"/>
    <n v="1047"/>
    <x v="26"/>
    <n v="0"/>
    <x v="181"/>
    <n v="0"/>
    <n v="21"/>
    <n v="0"/>
    <n v="0"/>
    <n v="13"/>
    <n v="0"/>
    <s v=""/>
    <s v=""/>
    <n v="0"/>
    <n v="0"/>
    <n v="0"/>
  </r>
  <r>
    <s v="Article_10"/>
    <x v="1"/>
    <x v="1"/>
    <n v="1047"/>
    <x v="29"/>
    <n v="0"/>
    <x v="181"/>
    <n v="0"/>
    <n v="88"/>
    <n v="0"/>
    <n v="0"/>
    <n v="70"/>
    <n v="0"/>
    <s v=""/>
    <s v=""/>
    <n v="0"/>
    <n v="0"/>
    <n v="0"/>
  </r>
  <r>
    <s v="Article_10"/>
    <x v="1"/>
    <x v="1"/>
    <n v="1047"/>
    <x v="31"/>
    <n v="5"/>
    <x v="188"/>
    <n v="0"/>
    <n v="116"/>
    <n v="14"/>
    <n v="2"/>
    <n v="64"/>
    <n v="14"/>
    <n v="0"/>
    <n v="1"/>
    <n v="0.21875"/>
    <n v="3.125E-2"/>
    <n v="7.8125E-2"/>
  </r>
  <r>
    <s v="Article_10"/>
    <x v="1"/>
    <x v="1"/>
    <n v="1047"/>
    <x v="32"/>
    <n v="66"/>
    <x v="189"/>
    <n v="0"/>
    <n v="410"/>
    <n v="171"/>
    <n v="30"/>
    <n v="354"/>
    <n v="171"/>
    <n v="0"/>
    <n v="1"/>
    <n v="0.48305084745762711"/>
    <n v="8.4745762711864403E-2"/>
    <n v="0.1864406779661017"/>
  </r>
  <r>
    <s v="Article_10"/>
    <x v="1"/>
    <x v="1"/>
    <n v="1047"/>
    <x v="33"/>
    <n v="30"/>
    <x v="141"/>
    <n v="0"/>
    <n v="693"/>
    <n v="77"/>
    <n v="13"/>
    <n v="238"/>
    <n v="77"/>
    <n v="0"/>
    <n v="1"/>
    <n v="0.3235294117647059"/>
    <n v="5.4621848739495799E-2"/>
    <n v="0.12605042016806722"/>
  </r>
  <r>
    <s v="Article_10"/>
    <x v="1"/>
    <x v="1"/>
    <n v="1047"/>
    <x v="34"/>
    <n v="13"/>
    <x v="190"/>
    <n v="0"/>
    <n v="222"/>
    <n v="34"/>
    <n v="6"/>
    <n v="104"/>
    <n v="34"/>
    <n v="0"/>
    <n v="1"/>
    <n v="0.32692307692307693"/>
    <n v="5.7692307692307696E-2"/>
    <n v="0.125"/>
  </r>
  <r>
    <s v="Article_10"/>
    <x v="1"/>
    <x v="1"/>
    <n v="1047"/>
    <x v="38"/>
    <n v="24"/>
    <x v="191"/>
    <n v="0"/>
    <n v="339"/>
    <n v="62"/>
    <n v="11"/>
    <n v="164"/>
    <n v="62"/>
    <n v="0"/>
    <n v="1"/>
    <n v="0.37804878048780488"/>
    <n v="6.7073170731707321E-2"/>
    <n v="0.14634146341463414"/>
  </r>
  <r>
    <s v="Article_10"/>
    <x v="1"/>
    <x v="1"/>
    <n v="1047"/>
    <x v="40"/>
    <n v="46"/>
    <x v="192"/>
    <n v="0"/>
    <n v="604"/>
    <n v="119"/>
    <n v="21"/>
    <n v="245"/>
    <n v="119"/>
    <n v="0"/>
    <n v="1"/>
    <n v="0.48571428571428571"/>
    <n v="8.5714285714285715E-2"/>
    <n v="0.18775510204081633"/>
  </r>
  <r>
    <s v="Article_10"/>
    <x v="1"/>
    <x v="1"/>
    <n v="1047"/>
    <x v="41"/>
    <n v="14"/>
    <x v="174"/>
    <n v="0"/>
    <n v="218"/>
    <n v="35"/>
    <n v="6"/>
    <n v="100"/>
    <n v="35"/>
    <n v="0"/>
    <n v="1"/>
    <n v="0.35"/>
    <n v="0.06"/>
    <n v="0.14000000000000001"/>
  </r>
  <r>
    <s v="Article_10"/>
    <x v="1"/>
    <x v="1"/>
    <n v="1047"/>
    <x v="42"/>
    <n v="61"/>
    <x v="5"/>
    <n v="0"/>
    <n v="640"/>
    <n v="159"/>
    <n v="28"/>
    <n v="381"/>
    <n v="159"/>
    <n v="0"/>
    <n v="1"/>
    <n v="0.41732283464566927"/>
    <n v="7.3490813648293962E-2"/>
    <n v="0.16010498687664043"/>
  </r>
  <r>
    <s v="Article_10"/>
    <x v="1"/>
    <x v="1"/>
    <n v="1047"/>
    <x v="46"/>
    <n v="29"/>
    <x v="141"/>
    <n v="0"/>
    <n v="237"/>
    <n v="76"/>
    <n v="13"/>
    <n v="233"/>
    <n v="76"/>
    <n v="0"/>
    <n v="1"/>
    <n v="0.3261802575107296"/>
    <n v="5.5793991416309016E-2"/>
    <n v="0.12446351931330472"/>
  </r>
  <r>
    <s v="Article_10"/>
    <x v="1"/>
    <x v="1"/>
    <n v="1047"/>
    <x v="48"/>
    <n v="0"/>
    <x v="181"/>
    <n v="0"/>
    <n v="125"/>
    <n v="0"/>
    <n v="0"/>
    <n v="41"/>
    <n v="0"/>
    <s v=""/>
    <s v=""/>
    <n v="0"/>
    <n v="0"/>
    <n v="0"/>
  </r>
  <r>
    <s v="Article_10"/>
    <x v="1"/>
    <x v="1"/>
    <n v="1047"/>
    <x v="49"/>
    <n v="0"/>
    <x v="181"/>
    <n v="0"/>
    <n v="19"/>
    <n v="0"/>
    <n v="0"/>
    <n v="6"/>
    <n v="0"/>
    <s v=""/>
    <s v=""/>
    <n v="0"/>
    <n v="0"/>
    <n v="0"/>
  </r>
  <r>
    <s v="Article_10"/>
    <x v="1"/>
    <x v="1"/>
    <n v="1047"/>
    <x v="52"/>
    <n v="6"/>
    <x v="193"/>
    <n v="0"/>
    <n v="61"/>
    <n v="17"/>
    <n v="3"/>
    <n v="35"/>
    <n v="17"/>
    <n v="0"/>
    <n v="1"/>
    <n v="0.48571428571428571"/>
    <n v="8.5714285714285715E-2"/>
    <n v="0.17142857142857143"/>
  </r>
  <r>
    <s v="Article_10"/>
    <x v="1"/>
    <x v="1"/>
    <n v="1047"/>
    <x v="53"/>
    <n v="0"/>
    <x v="181"/>
    <n v="0"/>
    <n v="45"/>
    <n v="0"/>
    <n v="0"/>
    <n v="24"/>
    <n v="0"/>
    <s v=""/>
    <s v=""/>
    <n v="0"/>
    <n v="0"/>
    <n v="0"/>
  </r>
  <r>
    <s v="Article_10"/>
    <x v="1"/>
    <x v="1"/>
    <n v="1047"/>
    <x v="54"/>
    <n v="54"/>
    <x v="194"/>
    <n v="0"/>
    <n v="1040"/>
    <n v="141"/>
    <n v="24"/>
    <n v="290"/>
    <n v="141"/>
    <n v="0"/>
    <n v="1"/>
    <n v="0.48620689655172411"/>
    <n v="8.2758620689655171E-2"/>
    <n v="0.18620689655172415"/>
  </r>
  <r>
    <s v="Article_10"/>
    <x v="1"/>
    <x v="1"/>
    <n v="1047"/>
    <x v="56"/>
    <n v="18"/>
    <x v="195"/>
    <n v="0"/>
    <n v="432"/>
    <n v="47"/>
    <n v="8"/>
    <n v="183"/>
    <n v="47"/>
    <n v="0"/>
    <n v="1"/>
    <n v="0.25683060109289618"/>
    <n v="4.3715846994535519E-2"/>
    <n v="9.8360655737704916E-2"/>
  </r>
  <r>
    <s v="Article_10"/>
    <x v="1"/>
    <x v="1"/>
    <n v="1047"/>
    <x v="57"/>
    <n v="19"/>
    <x v="196"/>
    <n v="0"/>
    <n v="375"/>
    <n v="48"/>
    <n v="8"/>
    <n v="147"/>
    <n v="48"/>
    <n v="0"/>
    <n v="1"/>
    <n v="0.32653061224489793"/>
    <n v="5.4421768707482991E-2"/>
    <n v="0.12925170068027211"/>
  </r>
  <r>
    <s v="Article_10"/>
    <x v="1"/>
    <x v="1"/>
    <n v="1047"/>
    <x v="59"/>
    <n v="0"/>
    <x v="181"/>
    <n v="0"/>
    <n v="24"/>
    <n v="0"/>
    <n v="0"/>
    <n v="9"/>
    <n v="0"/>
    <s v=""/>
    <s v=""/>
    <n v="0"/>
    <n v="0"/>
    <n v="0"/>
  </r>
  <r>
    <s v="Article_10"/>
    <x v="1"/>
    <x v="1"/>
    <n v="1047"/>
    <x v="61"/>
    <n v="30"/>
    <x v="197"/>
    <n v="0"/>
    <n v="627"/>
    <n v="79"/>
    <n v="14"/>
    <n v="191"/>
    <n v="79"/>
    <n v="0"/>
    <n v="1"/>
    <n v="0.41361256544502617"/>
    <n v="7.3298429319371722E-2"/>
    <n v="0.15706806282722513"/>
  </r>
  <r>
    <s v="Article_10"/>
    <x v="1"/>
    <x v="1"/>
    <n v="1047"/>
    <x v="62"/>
    <n v="12"/>
    <x v="198"/>
    <n v="0"/>
    <n v="231"/>
    <n v="30"/>
    <n v="5"/>
    <n v="75"/>
    <n v="30"/>
    <n v="0"/>
    <n v="1"/>
    <n v="0.4"/>
    <n v="6.6666666666666666E-2"/>
    <n v="0.16"/>
  </r>
  <r>
    <s v="Article_10"/>
    <x v="1"/>
    <x v="1"/>
    <n v="1047"/>
    <x v="63"/>
    <n v="9"/>
    <x v="182"/>
    <n v="0"/>
    <n v="360"/>
    <n v="23"/>
    <n v="4"/>
    <n v="110"/>
    <n v="23"/>
    <n v="0"/>
    <n v="1"/>
    <n v="0.20909090909090908"/>
    <n v="3.6363636363636362E-2"/>
    <n v="8.1818181818181818E-2"/>
  </r>
  <r>
    <s v="Article_10"/>
    <x v="1"/>
    <x v="1"/>
    <n v="1047"/>
    <x v="64"/>
    <n v="37"/>
    <x v="199"/>
    <n v="0"/>
    <n v="246"/>
    <n v="97"/>
    <n v="17"/>
    <n v="194"/>
    <n v="97"/>
    <n v="0"/>
    <n v="1"/>
    <n v="0.5"/>
    <n v="8.7628865979381437E-2"/>
    <n v="0.19072164948453607"/>
  </r>
  <r>
    <s v="Article_10"/>
    <x v="1"/>
    <x v="1"/>
    <n v="1047"/>
    <x v="67"/>
    <n v="7"/>
    <x v="200"/>
    <n v="0"/>
    <n v="371"/>
    <n v="19"/>
    <n v="3"/>
    <n v="130"/>
    <n v="19"/>
    <n v="0"/>
    <n v="1"/>
    <n v="0.14615384615384616"/>
    <n v="2.3076923076923078E-2"/>
    <n v="5.3846153846153849E-2"/>
  </r>
  <r>
    <s v="Article_10"/>
    <x v="1"/>
    <x v="1"/>
    <n v="1047"/>
    <x v="68"/>
    <n v="46"/>
    <x v="51"/>
    <n v="0"/>
    <n v="1210"/>
    <n v="121"/>
    <n v="21"/>
    <n v="321"/>
    <n v="121"/>
    <n v="0"/>
    <n v="1"/>
    <n v="0.37694704049844235"/>
    <n v="6.5420560747663545E-2"/>
    <n v="0.14330218068535824"/>
  </r>
  <r>
    <s v="Article_10"/>
    <x v="1"/>
    <x v="1"/>
    <n v="1047"/>
    <x v="69"/>
    <n v="6"/>
    <x v="193"/>
    <n v="0"/>
    <n v="319"/>
    <n v="16"/>
    <n v="3"/>
    <n v="120"/>
    <n v="16"/>
    <n v="0"/>
    <n v="1"/>
    <n v="0.13333333333333333"/>
    <n v="2.5000000000000001E-2"/>
    <n v="0.05"/>
  </r>
  <r>
    <s v="Article_10"/>
    <x v="1"/>
    <x v="1"/>
    <n v="1047"/>
    <x v="71"/>
    <n v="14"/>
    <x v="174"/>
    <n v="0"/>
    <n v="175"/>
    <n v="36"/>
    <n v="6"/>
    <n v="88"/>
    <n v="36"/>
    <n v="0"/>
    <n v="1"/>
    <n v="0.40909090909090912"/>
    <n v="6.8181818181818177E-2"/>
    <n v="0.15909090909090909"/>
  </r>
  <r>
    <s v="Article_10"/>
    <x v="1"/>
    <x v="1"/>
    <n v="1047"/>
    <x v="72"/>
    <n v="0"/>
    <x v="181"/>
    <n v="0"/>
    <n v="19"/>
    <n v="0"/>
    <n v="0"/>
    <n v="8"/>
    <n v="0"/>
    <s v=""/>
    <s v=""/>
    <n v="0"/>
    <n v="0"/>
    <n v="0"/>
  </r>
  <r>
    <s v="Article_10"/>
    <x v="1"/>
    <x v="1"/>
    <n v="1047"/>
    <x v="74"/>
    <n v="0"/>
    <x v="181"/>
    <n v="0"/>
    <n v="154"/>
    <n v="0"/>
    <n v="0"/>
    <n v="76"/>
    <n v="0"/>
    <s v=""/>
    <s v=""/>
    <n v="0"/>
    <n v="0"/>
    <n v="0"/>
  </r>
  <r>
    <s v="Article_10"/>
    <x v="1"/>
    <x v="1"/>
    <n v="1047"/>
    <x v="75"/>
    <n v="84"/>
    <x v="65"/>
    <n v="0"/>
    <n v="1834"/>
    <n v="218"/>
    <n v="38"/>
    <n v="464"/>
    <n v="218"/>
    <n v="0"/>
    <n v="1"/>
    <n v="0.46982758620689657"/>
    <n v="8.1896551724137928E-2"/>
    <n v="0.18103448275862069"/>
  </r>
  <r>
    <s v="Article_10"/>
    <x v="1"/>
    <x v="1"/>
    <n v="1047"/>
    <x v="76"/>
    <n v="2"/>
    <x v="201"/>
    <n v="0"/>
    <n v="34"/>
    <n v="6"/>
    <n v="1"/>
    <n v="32"/>
    <n v="6"/>
    <n v="0"/>
    <n v="1"/>
    <n v="0.1875"/>
    <n v="3.125E-2"/>
    <n v="6.25E-2"/>
  </r>
  <r>
    <s v="Article_10"/>
    <x v="1"/>
    <x v="1"/>
    <n v="1047"/>
    <x v="77"/>
    <n v="49"/>
    <x v="202"/>
    <n v="0"/>
    <n v="729"/>
    <n v="127"/>
    <n v="22"/>
    <n v="291"/>
    <n v="127"/>
    <n v="0"/>
    <n v="1"/>
    <n v="0.43642611683848798"/>
    <n v="7.560137457044673E-2"/>
    <n v="0.16838487972508592"/>
  </r>
  <r>
    <s v="Article_10"/>
    <x v="1"/>
    <x v="1"/>
    <n v="1047"/>
    <x v="78"/>
    <n v="19"/>
    <x v="196"/>
    <n v="0"/>
    <n v="310"/>
    <n v="49"/>
    <n v="9"/>
    <n v="106"/>
    <n v="49"/>
    <n v="0"/>
    <n v="1"/>
    <n v="0.46226415094339623"/>
    <n v="8.4905660377358486E-2"/>
    <n v="0.17924528301886791"/>
  </r>
  <r>
    <s v="Article_10"/>
    <x v="1"/>
    <x v="1"/>
    <n v="1047"/>
    <x v="80"/>
    <n v="0"/>
    <x v="181"/>
    <n v="0"/>
    <n v="73"/>
    <n v="0"/>
    <n v="0"/>
    <n v="21"/>
    <n v="0"/>
    <s v=""/>
    <s v=""/>
    <n v="0"/>
    <n v="0"/>
    <n v="0"/>
  </r>
  <r>
    <s v="Article_10"/>
    <x v="1"/>
    <x v="1"/>
    <n v="1047"/>
    <x v="81"/>
    <n v="27"/>
    <x v="178"/>
    <n v="0"/>
    <n v="513"/>
    <n v="69"/>
    <n v="12"/>
    <n v="175"/>
    <n v="69"/>
    <n v="0"/>
    <n v="1"/>
    <n v="0.39428571428571429"/>
    <n v="6.8571428571428575E-2"/>
    <n v="0.15428571428571428"/>
  </r>
  <r>
    <s v="Article_10"/>
    <x v="1"/>
    <x v="1"/>
    <n v="1047"/>
    <x v="82"/>
    <n v="19"/>
    <x v="151"/>
    <n v="0"/>
    <n v="242"/>
    <n v="50"/>
    <n v="9"/>
    <n v="157"/>
    <n v="50"/>
    <n v="0"/>
    <n v="1"/>
    <n v="0.31847133757961782"/>
    <n v="5.7324840764331211E-2"/>
    <n v="0.12101910828025478"/>
  </r>
  <r>
    <s v="Article_10"/>
    <x v="1"/>
    <x v="1"/>
    <n v="1047"/>
    <x v="83"/>
    <n v="26"/>
    <x v="150"/>
    <n v="0"/>
    <n v="437"/>
    <n v="68"/>
    <n v="12"/>
    <n v="229"/>
    <n v="68"/>
    <n v="0"/>
    <n v="1"/>
    <n v="0.29694323144104806"/>
    <n v="5.2401746724890827E-2"/>
    <n v="0.11353711790393013"/>
  </r>
  <r>
    <s v="Article_10"/>
    <x v="1"/>
    <x v="1"/>
    <n v="1047"/>
    <x v="84"/>
    <n v="24"/>
    <x v="191"/>
    <n v="0"/>
    <n v="492"/>
    <n v="62"/>
    <n v="11"/>
    <n v="208"/>
    <n v="62"/>
    <n v="0"/>
    <n v="1"/>
    <n v="0.29807692307692307"/>
    <n v="5.2884615384615384E-2"/>
    <n v="0.11538461538461539"/>
  </r>
  <r>
    <s v="Article_10"/>
    <x v="1"/>
    <x v="1"/>
    <n v="1047"/>
    <x v="85"/>
    <n v="48"/>
    <x v="203"/>
    <n v="0"/>
    <n v="908"/>
    <n v="125"/>
    <n v="22"/>
    <n v="243"/>
    <n v="125"/>
    <n v="0"/>
    <n v="1"/>
    <n v="0.51440329218106995"/>
    <n v="9.0534979423868317E-2"/>
    <n v="0.19753086419753085"/>
  </r>
  <r>
    <s v="Article_10"/>
    <x v="1"/>
    <x v="1"/>
    <n v="1047"/>
    <x v="86"/>
    <n v="20"/>
    <x v="204"/>
    <n v="0"/>
    <n v="559"/>
    <n v="52"/>
    <n v="9"/>
    <n v="149"/>
    <n v="52"/>
    <n v="0"/>
    <n v="1"/>
    <n v="0.34899328859060402"/>
    <n v="6.0402684563758392E-2"/>
    <n v="0.13422818791946309"/>
  </r>
  <r>
    <s v="Article_10"/>
    <x v="1"/>
    <x v="1"/>
    <n v="1047"/>
    <x v="87"/>
    <n v="66"/>
    <x v="205"/>
    <n v="0"/>
    <n v="618"/>
    <n v="172"/>
    <n v="30"/>
    <n v="430"/>
    <n v="172"/>
    <n v="0"/>
    <n v="1"/>
    <n v="0.4"/>
    <n v="6.9767441860465115E-2"/>
    <n v="0.15348837209302327"/>
  </r>
  <r>
    <s v="Article_10"/>
    <x v="1"/>
    <x v="1"/>
    <n v="1047"/>
    <x v="88"/>
    <n v="27"/>
    <x v="179"/>
    <n v="0"/>
    <n v="388"/>
    <n v="71"/>
    <n v="12"/>
    <n v="177"/>
    <n v="71"/>
    <n v="0"/>
    <n v="1"/>
    <n v="0.40112994350282488"/>
    <n v="6.7796610169491525E-2"/>
    <n v="0.15254237288135594"/>
  </r>
  <r>
    <s v="Article_10"/>
    <x v="1"/>
    <x v="1"/>
    <n v="1047"/>
    <x v="89"/>
    <n v="18"/>
    <x v="195"/>
    <n v="0"/>
    <n v="447"/>
    <n v="47"/>
    <n v="8"/>
    <n v="121"/>
    <n v="47"/>
    <n v="0"/>
    <n v="1"/>
    <n v="0.38842975206611569"/>
    <n v="6.6115702479338845E-2"/>
    <n v="0.1487603305785124"/>
  </r>
  <r>
    <s v="Article_10"/>
    <x v="1"/>
    <x v="1"/>
    <n v="1047"/>
    <x v="90"/>
    <n v="9"/>
    <x v="206"/>
    <n v="0"/>
    <n v="257"/>
    <n v="24"/>
    <n v="4"/>
    <n v="132"/>
    <n v="24"/>
    <n v="0"/>
    <n v="1"/>
    <n v="0.18181818181818182"/>
    <n v="3.0303030303030304E-2"/>
    <n v="6.8181818181818177E-2"/>
  </r>
  <r>
    <s v="Article_10"/>
    <x v="1"/>
    <x v="1"/>
    <n v="1047"/>
    <x v="91"/>
    <n v="43"/>
    <x v="207"/>
    <n v="0"/>
    <n v="1158"/>
    <n v="112"/>
    <n v="19"/>
    <n v="290"/>
    <n v="112"/>
    <n v="0"/>
    <n v="1"/>
    <n v="0.38620689655172413"/>
    <n v="6.5517241379310351E-2"/>
    <n v="0.14827586206896551"/>
  </r>
  <r>
    <s v="Article_10"/>
    <x v="1"/>
    <x v="1"/>
    <n v="1047"/>
    <x v="92"/>
    <n v="10"/>
    <x v="206"/>
    <n v="0"/>
    <n v="217"/>
    <n v="25"/>
    <n v="4"/>
    <n v="92"/>
    <n v="25"/>
    <n v="0"/>
    <n v="1"/>
    <n v="0.27173913043478259"/>
    <n v="4.3478260869565216E-2"/>
    <n v="0.10869565217391304"/>
  </r>
  <r>
    <s v="Article_10"/>
    <x v="1"/>
    <x v="1"/>
    <n v="1047"/>
    <x v="93"/>
    <n v="4"/>
    <x v="208"/>
    <n v="0"/>
    <n v="139"/>
    <n v="11"/>
    <n v="2"/>
    <n v="56"/>
    <n v="11"/>
    <n v="0"/>
    <n v="1"/>
    <n v="0.19642857142857142"/>
    <n v="3.5714285714285712E-2"/>
    <n v="7.1428571428571425E-2"/>
  </r>
  <r>
    <s v="Article_10"/>
    <x v="1"/>
    <x v="1"/>
    <n v="1047"/>
    <x v="94"/>
    <n v="9"/>
    <x v="182"/>
    <n v="0"/>
    <n v="148"/>
    <n v="23"/>
    <n v="4"/>
    <n v="62"/>
    <n v="23"/>
    <n v="0"/>
    <n v="1"/>
    <n v="0.37096774193548387"/>
    <n v="6.4516129032258063E-2"/>
    <n v="0.14516129032258066"/>
  </r>
  <r>
    <s v="Article_10"/>
    <x v="1"/>
    <x v="1"/>
    <n v="1047"/>
    <x v="95"/>
    <n v="18"/>
    <x v="195"/>
    <n v="0"/>
    <n v="182"/>
    <n v="47"/>
    <n v="8"/>
    <n v="160"/>
    <n v="47"/>
    <n v="0"/>
    <n v="1"/>
    <n v="0.29375000000000001"/>
    <n v="0.05"/>
    <n v="0.1125"/>
  </r>
  <r>
    <s v="Article_10"/>
    <x v="1"/>
    <x v="1"/>
    <n v="1047"/>
    <x v="102"/>
    <n v="15"/>
    <x v="209"/>
    <n v="0"/>
    <n v="509"/>
    <n v="40"/>
    <n v="7"/>
    <n v="140"/>
    <n v="40"/>
    <n v="0"/>
    <n v="1"/>
    <n v="0.2857142857142857"/>
    <n v="0.05"/>
    <n v="0.10714285714285714"/>
  </r>
  <r>
    <s v="Article_10"/>
    <x v="1"/>
    <x v="1"/>
    <n v="1047"/>
    <x v="105"/>
    <n v="29"/>
    <x v="210"/>
    <n v="0"/>
    <n v="664"/>
    <n v="75"/>
    <n v="13"/>
    <n v="244"/>
    <n v="75"/>
    <n v="0"/>
    <n v="1"/>
    <n v="0.30737704918032788"/>
    <n v="5.3278688524590161E-2"/>
    <n v="0.11885245901639344"/>
  </r>
  <r>
    <s v="Article_10"/>
    <x v="1"/>
    <x v="1"/>
    <n v="1047"/>
    <x v="107"/>
    <n v="188"/>
    <x v="211"/>
    <n v="0"/>
    <n v="2400"/>
    <n v="488"/>
    <n v="84"/>
    <n v="999"/>
    <n v="488"/>
    <n v="0"/>
    <n v="1"/>
    <n v="0.48848848848848847"/>
    <n v="8.408408408408409E-2"/>
    <n v="0.18818818818818819"/>
  </r>
  <r>
    <s v="Article_10"/>
    <x v="1"/>
    <x v="1"/>
    <n v="1047"/>
    <x v="109"/>
    <n v="50"/>
    <x v="212"/>
    <n v="0"/>
    <n v="630"/>
    <n v="131"/>
    <n v="23"/>
    <n v="254"/>
    <n v="131"/>
    <n v="0"/>
    <n v="1"/>
    <n v="0.51574803149606296"/>
    <n v="9.055118110236221E-2"/>
    <n v="0.19685039370078741"/>
  </r>
  <r>
    <s v="Article_10"/>
    <x v="1"/>
    <x v="1"/>
    <n v="1047"/>
    <x v="117"/>
    <n v="0"/>
    <x v="181"/>
    <n v="0"/>
    <n v="320"/>
    <n v="0"/>
    <n v="0"/>
    <n v="97"/>
    <n v="0"/>
    <s v=""/>
    <s v=""/>
    <n v="0"/>
    <n v="0"/>
    <n v="0"/>
  </r>
  <r>
    <s v="Article_10"/>
    <x v="1"/>
    <x v="1"/>
    <n v="1047"/>
    <x v="127"/>
    <n v="28"/>
    <x v="32"/>
    <n v="0"/>
    <n v="685"/>
    <n v="74"/>
    <n v="13"/>
    <n v="183"/>
    <n v="74"/>
    <n v="0"/>
    <n v="1"/>
    <n v="0.40437158469945356"/>
    <n v="7.1038251366120214E-2"/>
    <n v="0.15300546448087432"/>
  </r>
  <r>
    <s v="Article_10"/>
    <x v="1"/>
    <x v="1"/>
    <n v="1047"/>
    <x v="131"/>
    <n v="27"/>
    <x v="179"/>
    <n v="0"/>
    <n v="519"/>
    <n v="71"/>
    <n v="12"/>
    <n v="163"/>
    <n v="71"/>
    <n v="0"/>
    <n v="1"/>
    <n v="0.43558282208588955"/>
    <n v="7.3619631901840496E-2"/>
    <n v="0.16564417177914109"/>
  </r>
  <r>
    <s v="Article_10"/>
    <x v="1"/>
    <x v="1"/>
    <n v="1047"/>
    <x v="135"/>
    <n v="13"/>
    <x v="183"/>
    <n v="0"/>
    <n v="362"/>
    <n v="33"/>
    <n v="6"/>
    <n v="148"/>
    <n v="33"/>
    <n v="0"/>
    <n v="1"/>
    <n v="0.22297297297297297"/>
    <n v="4.0540540540540543E-2"/>
    <n v="8.7837837837837843E-2"/>
  </r>
  <r>
    <s v="Article_10"/>
    <x v="1"/>
    <x v="1"/>
    <n v="1047"/>
    <x v="136"/>
    <n v="0"/>
    <x v="181"/>
    <n v="0"/>
    <n v="75"/>
    <n v="0"/>
    <n v="0"/>
    <n v="38"/>
    <n v="0"/>
    <s v=""/>
    <s v=""/>
    <n v="0"/>
    <n v="0"/>
    <n v="0"/>
  </r>
  <r>
    <s v="Article_10"/>
    <x v="1"/>
    <x v="1"/>
    <n v="1047"/>
    <x v="140"/>
    <n v="19"/>
    <x v="196"/>
    <n v="0"/>
    <n v="138"/>
    <n v="49"/>
    <n v="8"/>
    <n v="131"/>
    <n v="49"/>
    <n v="0"/>
    <n v="1"/>
    <n v="0.37404580152671757"/>
    <n v="6.1068702290076333E-2"/>
    <n v="0.14503816793893129"/>
  </r>
  <r>
    <s v="Article_10"/>
    <x v="1"/>
    <x v="1"/>
    <n v="1047"/>
    <x v="141"/>
    <n v="70"/>
    <x v="213"/>
    <n v="0"/>
    <n v="1311"/>
    <n v="183"/>
    <n v="32"/>
    <n v="392"/>
    <n v="183"/>
    <n v="0"/>
    <n v="1"/>
    <n v="0.46683673469387754"/>
    <n v="8.1632653061224483E-2"/>
    <n v="0.17857142857142858"/>
  </r>
  <r>
    <s v="Article_10"/>
    <x v="1"/>
    <x v="1"/>
    <n v="1047"/>
    <x v="148"/>
    <n v="76"/>
    <x v="214"/>
    <n v="0"/>
    <n v="1065"/>
    <n v="198"/>
    <n v="34"/>
    <n v="395"/>
    <n v="198"/>
    <n v="0"/>
    <n v="1"/>
    <n v="0.50126582278481013"/>
    <n v="8.6075949367088608E-2"/>
    <n v="0.19240506329113924"/>
  </r>
  <r>
    <s v="Article_10"/>
    <x v="1"/>
    <x v="1"/>
    <n v="1047"/>
    <x v="154"/>
    <n v="15"/>
    <x v="209"/>
    <n v="0"/>
    <n v="518"/>
    <n v="39"/>
    <n v="7"/>
    <n v="135"/>
    <n v="39"/>
    <n v="0"/>
    <n v="1"/>
    <n v="0.28888888888888886"/>
    <n v="5.185185185185185E-2"/>
    <n v="0.1111111111111111"/>
  </r>
  <r>
    <s v="Article_10"/>
    <x v="1"/>
    <x v="1"/>
    <n v="1047"/>
    <x v="156"/>
    <n v="54"/>
    <x v="215"/>
    <n v="0"/>
    <n v="658"/>
    <n v="140"/>
    <n v="24"/>
    <n v="285"/>
    <n v="140"/>
    <n v="0"/>
    <n v="1"/>
    <n v="0.49122807017543857"/>
    <n v="8.4210526315789472E-2"/>
    <n v="0.18947368421052632"/>
  </r>
  <r>
    <s v="Article_10"/>
    <x v="1"/>
    <x v="1"/>
    <n v="1047"/>
    <x v="159"/>
    <n v="32"/>
    <x v="216"/>
    <n v="0"/>
    <n v="370"/>
    <n v="84"/>
    <n v="15"/>
    <n v="198"/>
    <n v="84"/>
    <n v="0"/>
    <n v="1"/>
    <n v="0.42424242424242425"/>
    <n v="7.575757575757576E-2"/>
    <n v="0.16161616161616163"/>
  </r>
  <r>
    <s v="Article_10"/>
    <x v="1"/>
    <x v="1"/>
    <n v="1047"/>
    <x v="164"/>
    <n v="5"/>
    <x v="188"/>
    <n v="0"/>
    <n v="84"/>
    <n v="12"/>
    <n v="2"/>
    <n v="27"/>
    <n v="12"/>
    <n v="0"/>
    <n v="1"/>
    <n v="0.44444444444444442"/>
    <n v="7.407407407407407E-2"/>
    <n v="0.18518518518518517"/>
  </r>
  <r>
    <s v="Article_10"/>
    <x v="1"/>
    <x v="1"/>
    <n v="1047"/>
    <x v="167"/>
    <n v="20"/>
    <x v="204"/>
    <n v="0"/>
    <n v="349"/>
    <n v="51"/>
    <n v="9"/>
    <n v="136"/>
    <n v="51"/>
    <n v="0"/>
    <n v="1"/>
    <n v="0.375"/>
    <n v="6.6176470588235295E-2"/>
    <n v="0.14705882352941177"/>
  </r>
  <r>
    <s v="Article_10"/>
    <x v="1"/>
    <x v="1"/>
    <n v="1047"/>
    <x v="169"/>
    <n v="17"/>
    <x v="161"/>
    <n v="0"/>
    <n v="428"/>
    <n v="43"/>
    <n v="7"/>
    <n v="168"/>
    <n v="43"/>
    <n v="0"/>
    <n v="1"/>
    <n v="0.25595238095238093"/>
    <n v="4.1666666666666664E-2"/>
    <n v="0.10119047619047619"/>
  </r>
  <r>
    <s v="Article_10"/>
    <x v="1"/>
    <x v="1"/>
    <n v="1047"/>
    <x v="182"/>
    <n v="49"/>
    <x v="202"/>
    <n v="0"/>
    <n v="564"/>
    <n v="126"/>
    <n v="22"/>
    <n v="251"/>
    <n v="126"/>
    <n v="0"/>
    <n v="1"/>
    <n v="0.50199203187250996"/>
    <n v="8.7649402390438252E-2"/>
    <n v="0.19521912350597609"/>
  </r>
  <r>
    <s v="Article_100"/>
    <x v="2"/>
    <x v="2"/>
    <n v="1047"/>
    <x v="56"/>
    <n v="37"/>
    <x v="217"/>
    <n v="0"/>
    <n v="725"/>
    <n v="95"/>
    <n v="16"/>
    <n v="275"/>
    <n v="95"/>
    <n v="0"/>
    <n v="1"/>
    <n v="0.34545454545454546"/>
    <n v="5.8181818181818182E-2"/>
    <n v="0.13454545454545455"/>
  </r>
  <r>
    <s v="Article_100"/>
    <x v="2"/>
    <x v="2"/>
    <n v="1047"/>
    <x v="57"/>
    <n v="149"/>
    <x v="218"/>
    <n v="0"/>
    <n v="2809"/>
    <n v="387"/>
    <n v="67"/>
    <n v="791"/>
    <n v="387"/>
    <n v="0"/>
    <n v="1"/>
    <n v="0.48925410872313529"/>
    <n v="8.4702907711757272E-2"/>
    <n v="0.18836915297092288"/>
  </r>
  <r>
    <s v="Article_100"/>
    <x v="2"/>
    <x v="2"/>
    <n v="1047"/>
    <x v="58"/>
    <n v="876"/>
    <x v="219"/>
    <n v="0"/>
    <n v="14084"/>
    <n v="2278"/>
    <n v="394"/>
    <n v="4444"/>
    <n v="2278"/>
    <n v="0"/>
    <n v="1"/>
    <n v="0.51260126012601259"/>
    <n v="8.8658865886588653E-2"/>
    <n v="0.19711971197119713"/>
  </r>
  <r>
    <s v="Article_100"/>
    <x v="2"/>
    <x v="2"/>
    <n v="1047"/>
    <x v="59"/>
    <n v="5117"/>
    <x v="220"/>
    <n v="0"/>
    <n v="91978"/>
    <n v="13304"/>
    <n v="2303"/>
    <n v="25661"/>
    <n v="13304"/>
    <n v="0"/>
    <n v="1"/>
    <n v="0.51845212579400646"/>
    <n v="8.9747087019212038E-2"/>
    <n v="0.19940766143174468"/>
  </r>
  <r>
    <s v="Article_100"/>
    <x v="2"/>
    <x v="2"/>
    <n v="1047"/>
    <x v="60"/>
    <n v="12956"/>
    <x v="221"/>
    <n v="0"/>
    <n v="231584"/>
    <n v="33685"/>
    <n v="5830"/>
    <n v="64865"/>
    <n v="33685"/>
    <n v="0"/>
    <n v="1"/>
    <n v="0.51930933477221919"/>
    <n v="8.9878979418792873E-2"/>
    <n v="0.19973791721267248"/>
  </r>
  <r>
    <s v="Article_100"/>
    <x v="2"/>
    <x v="2"/>
    <n v="1047"/>
    <x v="61"/>
    <n v="3300"/>
    <x v="222"/>
    <n v="0"/>
    <n v="62506"/>
    <n v="8580"/>
    <n v="1485"/>
    <n v="16535"/>
    <n v="8580"/>
    <n v="0"/>
    <n v="1"/>
    <n v="0.51889930450559418"/>
    <n v="8.9809495010583607E-2"/>
    <n v="0.1995766555790747"/>
  </r>
  <r>
    <s v="Article_100"/>
    <x v="2"/>
    <x v="2"/>
    <n v="1047"/>
    <x v="62"/>
    <n v="632"/>
    <x v="223"/>
    <n v="0"/>
    <n v="6647"/>
    <n v="1644"/>
    <n v="285"/>
    <n v="3216"/>
    <n v="1644"/>
    <n v="0"/>
    <n v="1"/>
    <n v="0.51119402985074625"/>
    <n v="8.8619402985074633E-2"/>
    <n v="0.19651741293532338"/>
  </r>
  <r>
    <s v="Article_100"/>
    <x v="2"/>
    <x v="2"/>
    <n v="1047"/>
    <x v="63"/>
    <n v="281"/>
    <x v="224"/>
    <n v="0"/>
    <n v="3298"/>
    <n v="730"/>
    <n v="126"/>
    <n v="1460"/>
    <n v="730"/>
    <n v="0"/>
    <n v="1"/>
    <n v="0.5"/>
    <n v="8.6301369863013705E-2"/>
    <n v="0.19246575342465752"/>
  </r>
  <r>
    <s v="Article_100"/>
    <x v="2"/>
    <x v="2"/>
    <n v="1047"/>
    <x v="64"/>
    <n v="356"/>
    <x v="225"/>
    <n v="0"/>
    <n v="3938"/>
    <n v="927"/>
    <n v="160"/>
    <n v="1857"/>
    <n v="927"/>
    <n v="0"/>
    <n v="1"/>
    <n v="0.49919224555735059"/>
    <n v="8.616047388260635E-2"/>
    <n v="0.19170705438879915"/>
  </r>
  <r>
    <s v="Article_100"/>
    <x v="2"/>
    <x v="2"/>
    <n v="1047"/>
    <x v="65"/>
    <n v="26"/>
    <x v="150"/>
    <n v="0"/>
    <n v="437"/>
    <n v="69"/>
    <n v="12"/>
    <n v="158"/>
    <n v="69"/>
    <n v="0"/>
    <n v="1"/>
    <n v="0.43670886075949367"/>
    <n v="7.5949367088607597E-2"/>
    <n v="0.16455696202531644"/>
  </r>
  <r>
    <s v="Article_100"/>
    <x v="2"/>
    <x v="2"/>
    <n v="1047"/>
    <x v="66"/>
    <n v="968"/>
    <x v="226"/>
    <n v="0"/>
    <n v="5852"/>
    <n v="2517"/>
    <n v="436"/>
    <n v="4842"/>
    <n v="2517"/>
    <n v="0"/>
    <n v="1"/>
    <n v="0.5198265179677819"/>
    <n v="9.0045435770342838E-2"/>
    <n v="0.19991738950846757"/>
  </r>
  <r>
    <s v="Article_100"/>
    <x v="2"/>
    <x v="2"/>
    <n v="1047"/>
    <x v="67"/>
    <n v="155"/>
    <x v="227"/>
    <n v="0"/>
    <n v="3363"/>
    <n v="404"/>
    <n v="70"/>
    <n v="841"/>
    <n v="404"/>
    <n v="0"/>
    <n v="1"/>
    <n v="0.48038049940546967"/>
    <n v="8.3234244946492272E-2"/>
    <n v="0.18430439952437574"/>
  </r>
  <r>
    <s v="Article_100"/>
    <x v="2"/>
    <x v="2"/>
    <n v="1047"/>
    <x v="68"/>
    <n v="18"/>
    <x v="195"/>
    <n v="0"/>
    <n v="466"/>
    <n v="47"/>
    <n v="8"/>
    <n v="147"/>
    <n v="47"/>
    <n v="0"/>
    <n v="1"/>
    <n v="0.31972789115646261"/>
    <n v="5.4421768707482991E-2"/>
    <n v="0.12244897959183673"/>
  </r>
  <r>
    <s v="Article_100"/>
    <x v="2"/>
    <x v="2"/>
    <n v="1047"/>
    <x v="69"/>
    <n v="28"/>
    <x v="179"/>
    <n v="0"/>
    <n v="200"/>
    <n v="72"/>
    <n v="12"/>
    <n v="184"/>
    <n v="72"/>
    <n v="0"/>
    <n v="1"/>
    <n v="0.39130434782608697"/>
    <n v="6.5217391304347824E-2"/>
    <n v="0.15217391304347827"/>
  </r>
  <r>
    <s v="Article_100"/>
    <x v="2"/>
    <x v="2"/>
    <n v="1047"/>
    <x v="70"/>
    <n v="104"/>
    <x v="228"/>
    <n v="0"/>
    <n v="772"/>
    <n v="271"/>
    <n v="47"/>
    <n v="525"/>
    <n v="271"/>
    <n v="0"/>
    <n v="1"/>
    <n v="0.5161904761904762"/>
    <n v="8.9523809523809519E-2"/>
    <n v="0.1980952380952381"/>
  </r>
  <r>
    <s v="Article_100"/>
    <x v="2"/>
    <x v="2"/>
    <n v="1047"/>
    <x v="71"/>
    <n v="31"/>
    <x v="197"/>
    <n v="0"/>
    <n v="866"/>
    <n v="80"/>
    <n v="14"/>
    <n v="227"/>
    <n v="80"/>
    <n v="0"/>
    <n v="1"/>
    <n v="0.3524229074889868"/>
    <n v="6.1674008810572688E-2"/>
    <n v="0.13656387665198239"/>
  </r>
  <r>
    <s v="Article_100"/>
    <x v="2"/>
    <x v="2"/>
    <n v="1047"/>
    <x v="72"/>
    <n v="16"/>
    <x v="229"/>
    <n v="0"/>
    <n v="178"/>
    <n v="42"/>
    <n v="7"/>
    <n v="109"/>
    <n v="42"/>
    <n v="0"/>
    <n v="1"/>
    <n v="0.38532110091743121"/>
    <n v="6.4220183486238536E-2"/>
    <n v="0.14678899082568808"/>
  </r>
  <r>
    <s v="Article_100"/>
    <x v="2"/>
    <x v="2"/>
    <n v="1047"/>
    <x v="73"/>
    <n v="50"/>
    <x v="212"/>
    <n v="0"/>
    <n v="438"/>
    <n v="131"/>
    <n v="23"/>
    <n v="271"/>
    <n v="131"/>
    <n v="0"/>
    <n v="1"/>
    <n v="0.48339483394833949"/>
    <n v="8.4870848708487087E-2"/>
    <n v="0.18450184501845018"/>
  </r>
  <r>
    <s v="Article_100"/>
    <x v="2"/>
    <x v="2"/>
    <n v="1047"/>
    <x v="74"/>
    <n v="18"/>
    <x v="230"/>
    <n v="0"/>
    <n v="409"/>
    <n v="46"/>
    <n v="8"/>
    <n v="118"/>
    <n v="46"/>
    <n v="0"/>
    <n v="1"/>
    <n v="0.38983050847457629"/>
    <n v="6.7796610169491525E-2"/>
    <n v="0.15254237288135594"/>
  </r>
  <r>
    <s v="Article_100"/>
    <x v="2"/>
    <x v="2"/>
    <n v="1047"/>
    <x v="75"/>
    <n v="54"/>
    <x v="194"/>
    <n v="0"/>
    <n v="448"/>
    <n v="141"/>
    <n v="24"/>
    <n v="272"/>
    <n v="141"/>
    <n v="0"/>
    <n v="1"/>
    <n v="0.51838235294117652"/>
    <n v="8.8235294117647065E-2"/>
    <n v="0.19852941176470587"/>
  </r>
  <r>
    <s v="Article_100"/>
    <x v="2"/>
    <x v="2"/>
    <n v="1047"/>
    <x v="76"/>
    <n v="210"/>
    <x v="231"/>
    <n v="0"/>
    <n v="2733"/>
    <n v="546"/>
    <n v="95"/>
    <n v="1074"/>
    <n v="546"/>
    <n v="0"/>
    <n v="1"/>
    <n v="0.50837988826815639"/>
    <n v="8.8454376163873374E-2"/>
    <n v="0.19553072625698323"/>
  </r>
  <r>
    <s v="Article_100"/>
    <x v="2"/>
    <x v="2"/>
    <n v="1047"/>
    <x v="77"/>
    <n v="22"/>
    <x v="110"/>
    <n v="0"/>
    <n v="186"/>
    <n v="56"/>
    <n v="10"/>
    <n v="144"/>
    <n v="56"/>
    <n v="0"/>
    <n v="1"/>
    <n v="0.3888888888888889"/>
    <n v="6.9444444444444448E-2"/>
    <n v="0.15277777777777779"/>
  </r>
  <r>
    <s v="Article_100"/>
    <x v="2"/>
    <x v="2"/>
    <n v="1047"/>
    <x v="78"/>
    <n v="8"/>
    <x v="200"/>
    <n v="0"/>
    <n v="362"/>
    <n v="20"/>
    <n v="3"/>
    <n v="108"/>
    <n v="20"/>
    <n v="0"/>
    <n v="1"/>
    <n v="0.18518518518518517"/>
    <n v="2.7777777777777776E-2"/>
    <n v="7.407407407407407E-2"/>
  </r>
  <r>
    <s v="Article_100"/>
    <x v="2"/>
    <x v="2"/>
    <n v="1047"/>
    <x v="79"/>
    <n v="11"/>
    <x v="146"/>
    <n v="0"/>
    <n v="323"/>
    <n v="29"/>
    <n v="5"/>
    <n v="154"/>
    <n v="29"/>
    <n v="0"/>
    <n v="1"/>
    <n v="0.18831168831168832"/>
    <n v="3.2467532467532464E-2"/>
    <n v="7.1428571428571425E-2"/>
  </r>
  <r>
    <s v="Article_100"/>
    <x v="2"/>
    <x v="2"/>
    <n v="1047"/>
    <x v="80"/>
    <n v="4"/>
    <x v="232"/>
    <n v="0"/>
    <n v="204"/>
    <n v="9"/>
    <n v="2"/>
    <n v="112"/>
    <n v="9"/>
    <n v="0"/>
    <n v="1"/>
    <n v="8.0357142857142863E-2"/>
    <n v="1.7857142857142856E-2"/>
    <n v="3.5714285714285712E-2"/>
  </r>
  <r>
    <s v="Article_100"/>
    <x v="2"/>
    <x v="2"/>
    <n v="1047"/>
    <x v="81"/>
    <n v="164"/>
    <x v="233"/>
    <n v="0"/>
    <n v="1245"/>
    <n v="426"/>
    <n v="74"/>
    <n v="886"/>
    <n v="426"/>
    <n v="0"/>
    <n v="1"/>
    <n v="0.48081264108352145"/>
    <n v="8.35214446952596E-2"/>
    <n v="0.18510158013544017"/>
  </r>
  <r>
    <s v="Article_100"/>
    <x v="2"/>
    <x v="2"/>
    <n v="1047"/>
    <x v="82"/>
    <n v="103"/>
    <x v="1"/>
    <n v="0"/>
    <n v="1710"/>
    <n v="268"/>
    <n v="46"/>
    <n v="554"/>
    <n v="268"/>
    <n v="0"/>
    <n v="1"/>
    <n v="0.48375451263537905"/>
    <n v="8.3032490974729242E-2"/>
    <n v="0.18592057761732853"/>
  </r>
  <r>
    <s v="Article_100"/>
    <x v="2"/>
    <x v="2"/>
    <n v="1047"/>
    <x v="83"/>
    <n v="9"/>
    <x v="182"/>
    <n v="0"/>
    <n v="156"/>
    <n v="22"/>
    <n v="4"/>
    <n v="83"/>
    <n v="22"/>
    <n v="0"/>
    <n v="1"/>
    <n v="0.26506024096385544"/>
    <n v="4.8192771084337352E-2"/>
    <n v="0.10843373493975904"/>
  </r>
  <r>
    <s v="Article_100"/>
    <x v="2"/>
    <x v="2"/>
    <n v="1047"/>
    <x v="84"/>
    <n v="6"/>
    <x v="193"/>
    <n v="0"/>
    <n v="340"/>
    <n v="17"/>
    <n v="3"/>
    <n v="108"/>
    <n v="17"/>
    <n v="0"/>
    <n v="1"/>
    <n v="0.15740740740740741"/>
    <n v="2.7777777777777776E-2"/>
    <n v="5.5555555555555552E-2"/>
  </r>
  <r>
    <s v="Article_100"/>
    <x v="2"/>
    <x v="2"/>
    <n v="1047"/>
    <x v="85"/>
    <n v="18"/>
    <x v="230"/>
    <n v="0"/>
    <n v="218"/>
    <n v="46"/>
    <n v="8"/>
    <n v="100"/>
    <n v="46"/>
    <n v="0"/>
    <n v="1"/>
    <n v="0.46"/>
    <n v="0.08"/>
    <n v="0.18"/>
  </r>
  <r>
    <s v="Article_100"/>
    <x v="2"/>
    <x v="2"/>
    <n v="1047"/>
    <x v="86"/>
    <n v="18"/>
    <x v="230"/>
    <n v="0"/>
    <n v="161"/>
    <n v="46"/>
    <n v="8"/>
    <n v="98"/>
    <n v="46"/>
    <n v="0"/>
    <n v="1"/>
    <n v="0.46938775510204084"/>
    <n v="8.1632653061224483E-2"/>
    <n v="0.18367346938775511"/>
  </r>
  <r>
    <s v="Article_100"/>
    <x v="2"/>
    <x v="2"/>
    <n v="1047"/>
    <x v="87"/>
    <n v="35"/>
    <x v="148"/>
    <n v="0"/>
    <n v="229"/>
    <n v="92"/>
    <n v="16"/>
    <n v="212"/>
    <n v="92"/>
    <n v="0"/>
    <n v="1"/>
    <n v="0.43396226415094341"/>
    <n v="7.5471698113207544E-2"/>
    <n v="0.1650943396226415"/>
  </r>
  <r>
    <s v="Article_100"/>
    <x v="2"/>
    <x v="2"/>
    <n v="1047"/>
    <x v="88"/>
    <n v="52"/>
    <x v="107"/>
    <n v="0"/>
    <n v="1384"/>
    <n v="134"/>
    <n v="23"/>
    <n v="354"/>
    <n v="134"/>
    <n v="0"/>
    <n v="1"/>
    <n v="0.37853107344632769"/>
    <n v="6.4971751412429377E-2"/>
    <n v="0.14689265536723164"/>
  </r>
  <r>
    <s v="Article_100"/>
    <x v="2"/>
    <x v="2"/>
    <n v="1047"/>
    <x v="89"/>
    <n v="28"/>
    <x v="32"/>
    <n v="0"/>
    <n v="466"/>
    <n v="74"/>
    <n v="13"/>
    <n v="179"/>
    <n v="74"/>
    <n v="0"/>
    <n v="1"/>
    <n v="0.41340782122905029"/>
    <n v="7.2625698324022353E-2"/>
    <n v="0.15642458100558659"/>
  </r>
  <r>
    <s v="Article_100"/>
    <x v="2"/>
    <x v="2"/>
    <n v="1047"/>
    <x v="91"/>
    <n v="132"/>
    <x v="234"/>
    <n v="0"/>
    <n v="2474"/>
    <n v="343"/>
    <n v="59"/>
    <n v="682"/>
    <n v="343"/>
    <n v="0"/>
    <n v="1"/>
    <n v="0.50293255131964809"/>
    <n v="8.6510263929618775E-2"/>
    <n v="0.19354838709677419"/>
  </r>
  <r>
    <s v="Article_100"/>
    <x v="2"/>
    <x v="2"/>
    <n v="1047"/>
    <x v="92"/>
    <n v="24"/>
    <x v="191"/>
    <n v="0"/>
    <n v="239"/>
    <n v="61"/>
    <n v="11"/>
    <n v="152"/>
    <n v="61"/>
    <n v="0"/>
    <n v="1"/>
    <n v="0.40131578947368424"/>
    <n v="7.2368421052631582E-2"/>
    <n v="0.15789473684210525"/>
  </r>
  <r>
    <s v="Article_100"/>
    <x v="2"/>
    <x v="2"/>
    <n v="1047"/>
    <x v="93"/>
    <n v="6"/>
    <x v="193"/>
    <n v="0"/>
    <n v="131"/>
    <n v="16"/>
    <n v="3"/>
    <n v="42"/>
    <n v="16"/>
    <n v="0"/>
    <n v="1"/>
    <n v="0.38095238095238093"/>
    <n v="7.1428571428571425E-2"/>
    <n v="0.14285714285714285"/>
  </r>
  <r>
    <s v="Article_100"/>
    <x v="2"/>
    <x v="2"/>
    <n v="1047"/>
    <x v="94"/>
    <n v="76"/>
    <x v="235"/>
    <n v="0"/>
    <n v="841"/>
    <n v="197"/>
    <n v="34"/>
    <n v="378"/>
    <n v="197"/>
    <n v="0"/>
    <n v="1"/>
    <n v="0.52116402116402116"/>
    <n v="8.9947089947089942E-2"/>
    <n v="0.20105820105820105"/>
  </r>
  <r>
    <s v="Article_100"/>
    <x v="2"/>
    <x v="2"/>
    <n v="1047"/>
    <x v="95"/>
    <n v="12"/>
    <x v="198"/>
    <n v="0"/>
    <n v="421"/>
    <n v="30"/>
    <n v="5"/>
    <n v="117"/>
    <n v="30"/>
    <n v="0"/>
    <n v="1"/>
    <n v="0.25641025641025639"/>
    <n v="4.2735042735042736E-2"/>
    <n v="0.10256410256410256"/>
  </r>
  <r>
    <s v="Article_100"/>
    <x v="2"/>
    <x v="2"/>
    <n v="1047"/>
    <x v="96"/>
    <n v="0"/>
    <x v="181"/>
    <n v="0"/>
    <n v="250"/>
    <n v="0"/>
    <n v="0"/>
    <n v="75"/>
    <n v="0"/>
    <s v=""/>
    <s v=""/>
    <n v="0"/>
    <n v="0"/>
    <n v="0"/>
  </r>
  <r>
    <s v="Article_100"/>
    <x v="2"/>
    <x v="2"/>
    <n v="1047"/>
    <x v="97"/>
    <n v="36"/>
    <x v="155"/>
    <n v="0"/>
    <n v="294"/>
    <n v="95"/>
    <n v="16"/>
    <n v="260"/>
    <n v="95"/>
    <n v="0"/>
    <n v="1"/>
    <n v="0.36538461538461536"/>
    <n v="6.1538461538461542E-2"/>
    <n v="0.13846153846153847"/>
  </r>
  <r>
    <s v="Article_100"/>
    <x v="2"/>
    <x v="2"/>
    <n v="1047"/>
    <x v="98"/>
    <n v="13"/>
    <x v="183"/>
    <n v="0"/>
    <n v="315"/>
    <n v="33"/>
    <n v="6"/>
    <n v="104"/>
    <n v="33"/>
    <n v="0"/>
    <n v="1"/>
    <n v="0.31730769230769229"/>
    <n v="5.7692307692307696E-2"/>
    <n v="0.125"/>
  </r>
  <r>
    <s v="Article_100"/>
    <x v="2"/>
    <x v="2"/>
    <n v="1047"/>
    <x v="101"/>
    <n v="12"/>
    <x v="183"/>
    <n v="0"/>
    <n v="200"/>
    <n v="32"/>
    <n v="6"/>
    <n v="90"/>
    <n v="32"/>
    <n v="0"/>
    <n v="1"/>
    <n v="0.35555555555555557"/>
    <n v="6.6666666666666666E-2"/>
    <n v="0.13333333333333333"/>
  </r>
  <r>
    <s v="Article_100"/>
    <x v="2"/>
    <x v="2"/>
    <n v="1047"/>
    <x v="103"/>
    <n v="56"/>
    <x v="236"/>
    <n v="0"/>
    <n v="458"/>
    <n v="145"/>
    <n v="25"/>
    <n v="373"/>
    <n v="145"/>
    <n v="0"/>
    <n v="1"/>
    <n v="0.38873994638069703"/>
    <n v="6.7024128686327081E-2"/>
    <n v="0.15013404825737264"/>
  </r>
  <r>
    <s v="Article_100"/>
    <x v="2"/>
    <x v="2"/>
    <n v="1047"/>
    <x v="104"/>
    <n v="20"/>
    <x v="151"/>
    <n v="0"/>
    <n v="540"/>
    <n v="51"/>
    <n v="9"/>
    <n v="180"/>
    <n v="51"/>
    <n v="0"/>
    <n v="1"/>
    <n v="0.28333333333333333"/>
    <n v="0.05"/>
    <n v="0.1111111111111111"/>
  </r>
  <r>
    <s v="Article_100"/>
    <x v="2"/>
    <x v="2"/>
    <n v="1047"/>
    <x v="107"/>
    <n v="3"/>
    <x v="201"/>
    <n v="0"/>
    <n v="42"/>
    <n v="7"/>
    <n v="1"/>
    <n v="32"/>
    <n v="7"/>
    <n v="0"/>
    <n v="1"/>
    <n v="0.21875"/>
    <n v="3.125E-2"/>
    <n v="9.375E-2"/>
  </r>
  <r>
    <s v="Article_100"/>
    <x v="2"/>
    <x v="2"/>
    <n v="1047"/>
    <x v="108"/>
    <n v="92"/>
    <x v="237"/>
    <n v="0"/>
    <n v="1493"/>
    <n v="239"/>
    <n v="41"/>
    <n v="519"/>
    <n v="239"/>
    <n v="0"/>
    <n v="1"/>
    <n v="0.46050096339113678"/>
    <n v="7.8998073217726394E-2"/>
    <n v="0.17726396917148363"/>
  </r>
  <r>
    <s v="Article_100"/>
    <x v="2"/>
    <x v="2"/>
    <n v="1047"/>
    <x v="109"/>
    <n v="6"/>
    <x v="193"/>
    <n v="0"/>
    <n v="98"/>
    <n v="16"/>
    <n v="3"/>
    <n v="46"/>
    <n v="16"/>
    <n v="0"/>
    <n v="1"/>
    <n v="0.34782608695652173"/>
    <n v="6.5217391304347824E-2"/>
    <n v="0.13043478260869565"/>
  </r>
  <r>
    <s v="Article_100"/>
    <x v="2"/>
    <x v="2"/>
    <n v="1047"/>
    <x v="111"/>
    <n v="0"/>
    <x v="181"/>
    <n v="0"/>
    <n v="15"/>
    <n v="0"/>
    <n v="0"/>
    <n v="11"/>
    <n v="0"/>
    <s v=""/>
    <s v=""/>
    <n v="0"/>
    <n v="0"/>
    <n v="0"/>
  </r>
  <r>
    <s v="Article_100"/>
    <x v="2"/>
    <x v="2"/>
    <n v="1047"/>
    <x v="114"/>
    <n v="12"/>
    <x v="198"/>
    <n v="0"/>
    <n v="191"/>
    <n v="31"/>
    <n v="5"/>
    <n v="67"/>
    <n v="31"/>
    <n v="0"/>
    <n v="1"/>
    <n v="0.46268656716417911"/>
    <n v="7.4626865671641784E-2"/>
    <n v="0.17910447761194029"/>
  </r>
  <r>
    <s v="Article_100"/>
    <x v="2"/>
    <x v="2"/>
    <n v="1047"/>
    <x v="115"/>
    <n v="6"/>
    <x v="238"/>
    <n v="0"/>
    <n v="146"/>
    <n v="15"/>
    <n v="3"/>
    <n v="73"/>
    <n v="15"/>
    <n v="0"/>
    <n v="1"/>
    <n v="0.20547945205479451"/>
    <n v="4.1095890410958902E-2"/>
    <n v="8.2191780821917804E-2"/>
  </r>
  <r>
    <s v="Article_100"/>
    <x v="2"/>
    <x v="2"/>
    <n v="1047"/>
    <x v="119"/>
    <n v="0"/>
    <x v="181"/>
    <n v="0"/>
    <n v="62"/>
    <n v="0"/>
    <n v="0"/>
    <n v="18"/>
    <n v="0"/>
    <s v=""/>
    <s v=""/>
    <n v="0"/>
    <n v="0"/>
    <n v="0"/>
  </r>
  <r>
    <s v="Article_100"/>
    <x v="2"/>
    <x v="2"/>
    <n v="1047"/>
    <x v="121"/>
    <n v="50"/>
    <x v="212"/>
    <n v="0"/>
    <n v="1009"/>
    <n v="131"/>
    <n v="23"/>
    <n v="297"/>
    <n v="131"/>
    <n v="0"/>
    <n v="1"/>
    <n v="0.44107744107744107"/>
    <n v="7.7441077441077436E-2"/>
    <n v="0.16835016835016836"/>
  </r>
  <r>
    <s v="Article_100"/>
    <x v="2"/>
    <x v="2"/>
    <n v="1047"/>
    <x v="122"/>
    <n v="49"/>
    <x v="202"/>
    <n v="0"/>
    <n v="1138"/>
    <n v="126"/>
    <n v="22"/>
    <n v="324"/>
    <n v="126"/>
    <n v="0"/>
    <n v="1"/>
    <n v="0.3888888888888889"/>
    <n v="6.7901234567901231E-2"/>
    <n v="0.15123456790123457"/>
  </r>
  <r>
    <s v="Article_100"/>
    <x v="2"/>
    <x v="2"/>
    <n v="1047"/>
    <x v="124"/>
    <n v="15"/>
    <x v="239"/>
    <n v="0"/>
    <n v="180"/>
    <n v="38"/>
    <n v="7"/>
    <n v="101"/>
    <n v="38"/>
    <n v="0"/>
    <n v="1"/>
    <n v="0.37623762376237624"/>
    <n v="6.9306930693069313E-2"/>
    <n v="0.14851485148514851"/>
  </r>
  <r>
    <s v="Article_100"/>
    <x v="2"/>
    <x v="2"/>
    <n v="1047"/>
    <x v="127"/>
    <n v="29"/>
    <x v="141"/>
    <n v="0"/>
    <n v="600"/>
    <n v="76"/>
    <n v="13"/>
    <n v="164"/>
    <n v="76"/>
    <n v="0"/>
    <n v="1"/>
    <n v="0.46341463414634149"/>
    <n v="7.926829268292683E-2"/>
    <n v="0.17682926829268292"/>
  </r>
  <r>
    <s v="Article_100"/>
    <x v="2"/>
    <x v="2"/>
    <n v="1047"/>
    <x v="130"/>
    <n v="37"/>
    <x v="217"/>
    <n v="0"/>
    <n v="323"/>
    <n v="96"/>
    <n v="17"/>
    <n v="219"/>
    <n v="96"/>
    <n v="0"/>
    <n v="1"/>
    <n v="0.43835616438356162"/>
    <n v="7.7625570776255703E-2"/>
    <n v="0.16894977168949771"/>
  </r>
  <r>
    <s v="Article_100"/>
    <x v="2"/>
    <x v="2"/>
    <n v="1047"/>
    <x v="132"/>
    <n v="34"/>
    <x v="240"/>
    <n v="0"/>
    <n v="533"/>
    <n v="89"/>
    <n v="15"/>
    <n v="272"/>
    <n v="89"/>
    <n v="0"/>
    <n v="1"/>
    <n v="0.32720588235294118"/>
    <n v="5.514705882352941E-2"/>
    <n v="0.125"/>
  </r>
  <r>
    <s v="Article_100"/>
    <x v="2"/>
    <x v="2"/>
    <n v="1047"/>
    <x v="133"/>
    <n v="0"/>
    <x v="181"/>
    <n v="0"/>
    <n v="164"/>
    <n v="0"/>
    <n v="0"/>
    <n v="64"/>
    <n v="0"/>
    <s v=""/>
    <s v=""/>
    <n v="0"/>
    <n v="0"/>
    <n v="0"/>
  </r>
  <r>
    <s v="Article_100"/>
    <x v="2"/>
    <x v="2"/>
    <n v="1047"/>
    <x v="134"/>
    <n v="10"/>
    <x v="241"/>
    <n v="0"/>
    <n v="198"/>
    <n v="27"/>
    <n v="5"/>
    <n v="82"/>
    <n v="27"/>
    <n v="0"/>
    <n v="1"/>
    <n v="0.32926829268292684"/>
    <n v="6.097560975609756E-2"/>
    <n v="0.12195121951219512"/>
  </r>
  <r>
    <s v="Article_100"/>
    <x v="2"/>
    <x v="2"/>
    <n v="1047"/>
    <x v="135"/>
    <n v="117"/>
    <x v="242"/>
    <n v="0"/>
    <n v="1493"/>
    <n v="304"/>
    <n v="53"/>
    <n v="633"/>
    <n v="304"/>
    <n v="0"/>
    <n v="1"/>
    <n v="0.48025276461295419"/>
    <n v="8.3728278041074244E-2"/>
    <n v="0.18483412322274881"/>
  </r>
  <r>
    <s v="Article_100"/>
    <x v="2"/>
    <x v="2"/>
    <n v="1047"/>
    <x v="136"/>
    <n v="92"/>
    <x v="243"/>
    <n v="0"/>
    <n v="1026"/>
    <n v="240"/>
    <n v="42"/>
    <n v="525"/>
    <n v="240"/>
    <n v="0"/>
    <n v="1"/>
    <n v="0.45714285714285713"/>
    <n v="0.08"/>
    <n v="0.17523809523809525"/>
  </r>
  <r>
    <s v="Article_100"/>
    <x v="2"/>
    <x v="2"/>
    <n v="1047"/>
    <x v="137"/>
    <n v="18"/>
    <x v="230"/>
    <n v="0"/>
    <n v="297"/>
    <n v="46"/>
    <n v="8"/>
    <n v="96"/>
    <n v="46"/>
    <n v="0"/>
    <n v="1"/>
    <n v="0.47916666666666669"/>
    <n v="8.3333333333333329E-2"/>
    <n v="0.1875"/>
  </r>
  <r>
    <s v="Article_100"/>
    <x v="2"/>
    <x v="2"/>
    <n v="1047"/>
    <x v="138"/>
    <n v="17"/>
    <x v="230"/>
    <n v="0"/>
    <n v="180"/>
    <n v="45"/>
    <n v="8"/>
    <n v="130"/>
    <n v="45"/>
    <n v="0"/>
    <n v="1"/>
    <n v="0.34615384615384615"/>
    <n v="6.1538461538461542E-2"/>
    <n v="0.13076923076923078"/>
  </r>
  <r>
    <s v="Article_100"/>
    <x v="2"/>
    <x v="2"/>
    <n v="1047"/>
    <x v="141"/>
    <n v="8"/>
    <x v="244"/>
    <n v="0"/>
    <n v="224"/>
    <n v="22"/>
    <n v="4"/>
    <n v="118"/>
    <n v="22"/>
    <n v="0"/>
    <n v="1"/>
    <n v="0.1864406779661017"/>
    <n v="3.3898305084745763E-2"/>
    <n v="6.7796610169491525E-2"/>
  </r>
  <r>
    <s v="Article_100"/>
    <x v="2"/>
    <x v="2"/>
    <n v="1047"/>
    <x v="142"/>
    <n v="19"/>
    <x v="196"/>
    <n v="0"/>
    <n v="283"/>
    <n v="48"/>
    <n v="8"/>
    <n v="106"/>
    <n v="48"/>
    <n v="0"/>
    <n v="1"/>
    <n v="0.45283018867924529"/>
    <n v="7.5471698113207544E-2"/>
    <n v="0.17924528301886791"/>
  </r>
  <r>
    <s v="Article_100"/>
    <x v="2"/>
    <x v="2"/>
    <n v="1047"/>
    <x v="144"/>
    <n v="74"/>
    <x v="245"/>
    <n v="0"/>
    <n v="772"/>
    <n v="191"/>
    <n v="33"/>
    <n v="400"/>
    <n v="191"/>
    <n v="0"/>
    <n v="1"/>
    <n v="0.47749999999999998"/>
    <n v="8.2500000000000004E-2"/>
    <n v="0.185"/>
  </r>
  <r>
    <s v="Article_100"/>
    <x v="2"/>
    <x v="2"/>
    <n v="1047"/>
    <x v="145"/>
    <n v="85"/>
    <x v="16"/>
    <n v="0"/>
    <n v="1513"/>
    <n v="221"/>
    <n v="38"/>
    <n v="469"/>
    <n v="221"/>
    <n v="0"/>
    <n v="1"/>
    <n v="0.47121535181236673"/>
    <n v="8.1023454157782518E-2"/>
    <n v="0.18123667377398719"/>
  </r>
  <r>
    <s v="Article_100"/>
    <x v="2"/>
    <x v="2"/>
    <n v="1047"/>
    <x v="146"/>
    <n v="52"/>
    <x v="107"/>
    <n v="0"/>
    <n v="785"/>
    <n v="135"/>
    <n v="23"/>
    <n v="328"/>
    <n v="135"/>
    <n v="0"/>
    <n v="1"/>
    <n v="0.41158536585365851"/>
    <n v="7.0121951219512202E-2"/>
    <n v="0.15853658536585366"/>
  </r>
  <r>
    <s v="Article_100"/>
    <x v="2"/>
    <x v="2"/>
    <n v="1047"/>
    <x v="149"/>
    <n v="39"/>
    <x v="246"/>
    <n v="0"/>
    <n v="582"/>
    <n v="101"/>
    <n v="18"/>
    <n v="224"/>
    <n v="101"/>
    <n v="0"/>
    <n v="1"/>
    <n v="0.45089285714285715"/>
    <n v="8.0357142857142863E-2"/>
    <n v="0.17410714285714285"/>
  </r>
  <r>
    <s v="Article_100"/>
    <x v="2"/>
    <x v="2"/>
    <n v="1047"/>
    <x v="150"/>
    <n v="168"/>
    <x v="156"/>
    <n v="0"/>
    <n v="1910"/>
    <n v="437"/>
    <n v="76"/>
    <n v="890"/>
    <n v="437"/>
    <n v="0"/>
    <n v="1"/>
    <n v="0.49101123595505619"/>
    <n v="8.5393258426966295E-2"/>
    <n v="0.18876404494382024"/>
  </r>
  <r>
    <s v="Article_100"/>
    <x v="2"/>
    <x v="2"/>
    <n v="1047"/>
    <x v="151"/>
    <n v="9"/>
    <x v="182"/>
    <n v="0"/>
    <n v="89"/>
    <n v="22"/>
    <n v="4"/>
    <n v="67"/>
    <n v="22"/>
    <n v="0"/>
    <n v="1"/>
    <n v="0.32835820895522388"/>
    <n v="5.9701492537313432E-2"/>
    <n v="0.13432835820895522"/>
  </r>
  <r>
    <s v="Article_100"/>
    <x v="2"/>
    <x v="2"/>
    <n v="1047"/>
    <x v="155"/>
    <n v="46"/>
    <x v="51"/>
    <n v="0"/>
    <n v="1007"/>
    <n v="120"/>
    <n v="21"/>
    <n v="259"/>
    <n v="120"/>
    <n v="0"/>
    <n v="1"/>
    <n v="0.46332046332046334"/>
    <n v="8.1081081081081086E-2"/>
    <n v="0.17760617760617761"/>
  </r>
  <r>
    <s v="Article_100"/>
    <x v="2"/>
    <x v="2"/>
    <n v="1047"/>
    <x v="158"/>
    <n v="41"/>
    <x v="247"/>
    <n v="0"/>
    <n v="494"/>
    <n v="106"/>
    <n v="18"/>
    <n v="283"/>
    <n v="106"/>
    <n v="0"/>
    <n v="1"/>
    <n v="0.37455830388692579"/>
    <n v="6.3604240282685506E-2"/>
    <n v="0.14487632508833923"/>
  </r>
  <r>
    <s v="Article_100"/>
    <x v="2"/>
    <x v="2"/>
    <n v="1047"/>
    <x v="160"/>
    <n v="7"/>
    <x v="248"/>
    <n v="0"/>
    <n v="457"/>
    <n v="17"/>
    <n v="3"/>
    <n v="117"/>
    <n v="17"/>
    <n v="0"/>
    <n v="1"/>
    <n v="0.14529914529914531"/>
    <n v="2.564102564102564E-2"/>
    <n v="5.9829059829059832E-2"/>
  </r>
  <r>
    <s v="Article_100"/>
    <x v="2"/>
    <x v="2"/>
    <n v="1047"/>
    <x v="165"/>
    <n v="8"/>
    <x v="244"/>
    <n v="0"/>
    <n v="152"/>
    <n v="21"/>
    <n v="4"/>
    <n v="47"/>
    <n v="21"/>
    <n v="0"/>
    <n v="1"/>
    <n v="0.44680851063829785"/>
    <n v="8.5106382978723402E-2"/>
    <n v="0.1702127659574468"/>
  </r>
  <r>
    <s v="Article_100"/>
    <x v="2"/>
    <x v="2"/>
    <n v="1047"/>
    <x v="166"/>
    <n v="4"/>
    <x v="232"/>
    <n v="0"/>
    <n v="166"/>
    <n v="10"/>
    <n v="2"/>
    <n v="45"/>
    <n v="10"/>
    <n v="0"/>
    <n v="1"/>
    <n v="0.22222222222222221"/>
    <n v="4.4444444444444446E-2"/>
    <n v="8.8888888888888892E-2"/>
  </r>
  <r>
    <s v="Article_100"/>
    <x v="2"/>
    <x v="2"/>
    <n v="1047"/>
    <x v="168"/>
    <n v="0"/>
    <x v="181"/>
    <n v="0"/>
    <n v="192"/>
    <n v="0"/>
    <n v="0"/>
    <n v="92"/>
    <n v="0"/>
    <s v=""/>
    <s v=""/>
    <n v="0"/>
    <n v="0"/>
    <n v="0"/>
  </r>
  <r>
    <s v="Article_100"/>
    <x v="2"/>
    <x v="2"/>
    <n v="1047"/>
    <x v="172"/>
    <n v="3"/>
    <x v="249"/>
    <n v="0"/>
    <n v="75"/>
    <n v="9"/>
    <n v="2"/>
    <n v="20"/>
    <n v="9"/>
    <n v="0"/>
    <n v="1"/>
    <n v="0.45"/>
    <n v="0.1"/>
    <n v="0.15"/>
  </r>
  <r>
    <s v="Article_100"/>
    <x v="2"/>
    <x v="2"/>
    <n v="1047"/>
    <x v="173"/>
    <n v="15"/>
    <x v="209"/>
    <n v="0"/>
    <n v="278"/>
    <n v="38"/>
    <n v="7"/>
    <n v="84"/>
    <n v="38"/>
    <n v="0"/>
    <n v="1"/>
    <n v="0.45238095238095238"/>
    <n v="8.3333333333333329E-2"/>
    <n v="0.17857142857142858"/>
  </r>
  <r>
    <s v="Article_100"/>
    <x v="2"/>
    <x v="2"/>
    <n v="1047"/>
    <x v="174"/>
    <n v="0"/>
    <x v="181"/>
    <n v="0"/>
    <n v="70"/>
    <n v="0"/>
    <n v="0"/>
    <n v="23"/>
    <n v="0"/>
    <s v=""/>
    <s v=""/>
    <n v="0"/>
    <n v="0"/>
    <n v="0"/>
  </r>
  <r>
    <s v="Article_100"/>
    <x v="2"/>
    <x v="2"/>
    <n v="1047"/>
    <x v="178"/>
    <n v="0"/>
    <x v="181"/>
    <n v="0"/>
    <n v="50"/>
    <n v="0"/>
    <n v="0"/>
    <n v="32"/>
    <n v="0"/>
    <s v=""/>
    <s v=""/>
    <n v="0"/>
    <n v="0"/>
    <n v="0"/>
  </r>
  <r>
    <s v="Article_100"/>
    <x v="2"/>
    <x v="2"/>
    <n v="1047"/>
    <x v="180"/>
    <n v="11"/>
    <x v="250"/>
    <n v="0"/>
    <n v="323"/>
    <n v="28"/>
    <n v="5"/>
    <n v="132"/>
    <n v="28"/>
    <n v="0"/>
    <n v="1"/>
    <n v="0.21212121212121213"/>
    <n v="3.787878787878788E-2"/>
    <n v="8.3333333333333329E-2"/>
  </r>
  <r>
    <s v="Article_100"/>
    <x v="2"/>
    <x v="2"/>
    <n v="1047"/>
    <x v="181"/>
    <n v="7"/>
    <x v="248"/>
    <n v="0"/>
    <n v="184"/>
    <n v="17"/>
    <n v="3"/>
    <n v="105"/>
    <n v="17"/>
    <n v="0"/>
    <n v="1"/>
    <n v="0.16190476190476191"/>
    <n v="2.8571428571428571E-2"/>
    <n v="6.6666666666666666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37F904-3A27-A640-A039-D2F8BF2216A2}" name="Tabela dinâmica1" cacheId="8" applyNumberFormats="0" applyBorderFormats="0" applyFontFormats="0" applyPatternFormats="0" applyAlignmentFormats="0" applyWidthHeightFormats="1" dataCaption="Valores" grandTotalCaption="Total de novos usuários" updatedVersion="8" minRefreshableVersion="5" useAutoFormatting="1" itemPrintTitles="1" createdVersion="8" indent="0" outline="1" outlineData="1" multipleFieldFilters="0" rowHeaderCaption="Artigo">
  <location ref="A1:B5" firstHeaderRow="1" firstDataRow="1" firstDataCol="1"/>
  <pivotFields count="19"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numFmtId="14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numFmtId="10" showAll="0"/>
    <pivotField numFmtId="10" showAll="0"/>
    <pivotField numFmtId="10" showAll="0"/>
    <pivotField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vos usuários" fld="6" baseField="0" baseItem="0" numFmtId="3"/>
  </dataFields>
  <formats count="3">
    <format dxfId="33">
      <pivotArea field="1" type="button" dataOnly="0" labelOnly="1" outline="0" axis="axisRow" fieldPosition="0"/>
    </format>
    <format dxfId="32">
      <pivotArea dataOnly="0" labelOnly="1" outline="0" axis="axisValues" fieldPosition="0"/>
    </format>
    <format dxfId="31">
      <pivotArea dataOnly="0" labelOnly="1" grandRow="1" outline="0" fieldPosition="0"/>
    </format>
  </formats>
  <pivotTableStyleInfo name="PivotStyleMedium7" showRowHeaders="1" showColHeaders="1" showRowStripes="1" showColStripes="1" showLastColumn="1"/>
  <filters count="1">
    <filter fld="4" type="dateBetween" evalOrder="-1" id="125" name="Data">
      <autoFilter ref="A1">
        <filterColumn colId="0">
          <customFilters and="1">
            <customFilter operator="greaterThanOrEqual" val="44197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2ADFC8-5705-714E-94DD-D476741640C0}" name="Tabela dinâmica3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2:B6" firstHeaderRow="1" firstDataRow="1" firstDataCol="1"/>
  <pivotFields count="19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numFmtId="14" showAll="0"/>
    <pivotField numFmtId="164"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numFmtId="10" showAll="0"/>
    <pivotField numFmtId="10" showAll="0"/>
    <pivotField numFmtId="10" showAll="0"/>
    <pivotField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Tempo de leitura (minutos)" fld="8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E28387E5-2054-D449-821C-7EEB5767E251}" autoFormatId="16" applyNumberFormats="0" applyBorderFormats="0" applyFontFormats="0" applyPatternFormats="0" applyAlignmentFormats="0" applyWidthHeightFormats="0">
  <queryTableRefresh nextId="19" unboundColumnsRight="6">
    <queryTableFields count="18">
      <queryTableField id="1" name="Article URL" tableColumnId="1"/>
      <queryTableField id="2" name="Nome do artigo" tableColumnId="2"/>
      <queryTableField id="3" name="Categoria" tableColumnId="3"/>
      <queryTableField id="4" name="Campanha" tableColumnId="4"/>
      <queryTableField id="5" name="Data" tableColumnId="5"/>
      <queryTableField id="6" name="Visitas Diretas" tableColumnId="6"/>
      <queryTableField id="7" name="Novos usuários únicos" tableColumnId="7"/>
      <queryTableField id="8" name="Clicks pagos" tableColumnId="8"/>
      <queryTableField id="9" name="Tempo de leitura (minutos)" tableColumnId="9"/>
      <queryTableField id="10" name="Clicks redes sociais" tableColumnId="10"/>
      <queryTableField id="11" name="Vezes pesquisados" tableColumnId="11"/>
      <queryTableField id="12" name="Visualizações" tableColumnId="12"/>
      <queryTableField id="16" dataBound="0" tableColumnId="16"/>
      <queryTableField id="13" dataBound="0" tableColumnId="13"/>
      <queryTableField id="14" dataBound="0" tableColumnId="14"/>
      <queryTableField id="15" dataBound="0" tableColumnId="15"/>
      <queryTableField id="17" dataBound="0" tableColumnId="17"/>
      <queryTableField id="18" dataBound="0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461AAA-7182-F945-97FC-60A69C80C1E9}" name="Tabela_dados_base" displayName="Tabela_dados_base" ref="A1:R358" tableType="queryTable" totalsRowCount="1" headerRowDxfId="30">
  <autoFilter ref="A1:R357" xr:uid="{FF461AAA-7182-F945-97FC-60A69C80C1E9}"/>
  <tableColumns count="18">
    <tableColumn id="1" xr3:uid="{52EA4C0F-426A-E048-9593-7164BCA7A42D}" uniqueName="1" name="Article URL" totalsRowLabel="Total" queryTableFieldId="1" dataDxfId="29"/>
    <tableColumn id="2" xr3:uid="{ABA8ECB0-153F-AA4C-AECD-867BD17FBF66}" uniqueName="2" name="Nome do artigo" queryTableFieldId="2" dataDxfId="28"/>
    <tableColumn id="3" xr3:uid="{5DA3E61D-3915-AC44-ABDF-F1FE52B096F0}" uniqueName="3" name="Categoria" queryTableFieldId="3" dataDxfId="27"/>
    <tableColumn id="4" xr3:uid="{03A6C4E5-2443-6945-B53D-53AAFAB84E09}" uniqueName="4" name="Campanha" queryTableFieldId="4"/>
    <tableColumn id="5" xr3:uid="{917EB891-3914-4542-AEE3-1FDC3BBD50EE}" uniqueName="5" name="Data" queryTableFieldId="5" dataDxfId="26"/>
    <tableColumn id="6" xr3:uid="{5ADC7DC4-8036-514D-AF20-F99CF1FA1396}" uniqueName="6" name="Visitas Diretas" totalsRowFunction="sum" queryTableFieldId="6" dataDxfId="25" totalsRowDxfId="24" dataCellStyle="Vírgula"/>
    <tableColumn id="7" xr3:uid="{3268BB23-5016-C540-8FB4-B505A45DF85E}" uniqueName="7" name="Novos usuários únicos" totalsRowFunction="sum" queryTableFieldId="7" dataDxfId="23" totalsRowDxfId="22" dataCellStyle="Vírgula"/>
    <tableColumn id="8" xr3:uid="{98F5657E-44DD-4F4D-B89F-6A8880DC4FC9}" uniqueName="8" name="Clicks pagos" totalsRowFunction="sum" queryTableFieldId="8" dataDxfId="21" totalsRowDxfId="20" dataCellStyle="Vírgula"/>
    <tableColumn id="9" xr3:uid="{F61EFE3D-2AE9-354F-A6FF-57986CAB8A51}" uniqueName="9" name="Tempo de leitura (minutos)" totalsRowFunction="average" queryTableFieldId="9" dataDxfId="19" totalsRowDxfId="18" dataCellStyle="Vírgula"/>
    <tableColumn id="10" xr3:uid="{054BAEEF-56AB-3B45-A3A4-9D9FF991AB33}" uniqueName="10" name="Clicks redes sociais" totalsRowFunction="sum" queryTableFieldId="10" dataDxfId="17" totalsRowDxfId="16" dataCellStyle="Vírgula"/>
    <tableColumn id="11" xr3:uid="{4B1F32C9-2EA6-8844-A26A-64533070A750}" uniqueName="11" name="Vezes pesquisados" totalsRowFunction="sum" queryTableFieldId="11" dataDxfId="15" totalsRowDxfId="14" dataCellStyle="Vírgula"/>
    <tableColumn id="12" xr3:uid="{E5DDBF58-7945-B341-940E-0A7E6D22125D}" uniqueName="12" name="Visualizações" totalsRowFunction="sum" queryTableFieldId="12" dataDxfId="13" totalsRowDxfId="12" dataCellStyle="Vírgula" totalsRowCellStyle="Vírgula"/>
    <tableColumn id="16" xr3:uid="{D62A00FC-4C5C-2B4D-8BA5-92C3743901D5}" uniqueName="16" name="Total de Clicks" totalsRowFunction="sum" queryTableFieldId="16" dataDxfId="11" totalsRowDxfId="10" dataCellStyle="Vírgula" totalsRowCellStyle="Vírgula">
      <calculatedColumnFormula>Tabela_dados_base[[#This Row],[Clicks pagos]]+Tabela_dados_base[[#This Row],[Clicks redes sociais]]</calculatedColumnFormula>
    </tableColumn>
    <tableColumn id="13" xr3:uid="{51339D50-8544-DD4B-A671-B5CBAC6DA1CD}" uniqueName="13" name="% Clicks Pagos" totalsRowFunction="custom" queryTableFieldId="13" dataDxfId="9" totalsRowDxfId="8" dataCellStyle="Porcentagem" totalsRowCellStyle="Porcentagem">
      <calculatedColumnFormula>IFERROR(Tabela_dados_base[[#This Row],[Clicks pagos]]/Tabela_dados_base[[#This Row],[Total de Clicks]],"")</calculatedColumnFormula>
      <totalsRowFormula>Tabela_dados_base[[#Totals],[Clicks pagos]]/Tabela_dados_base[[#Totals],[Total de Clicks]]</totalsRowFormula>
    </tableColumn>
    <tableColumn id="14" xr3:uid="{42E1E6A2-5947-C643-A1AA-566D5530F098}" uniqueName="14" name="% Clicks Redes Sociais" totalsRowFunction="custom" queryTableFieldId="14" dataDxfId="7" totalsRowDxfId="6" dataCellStyle="Porcentagem" totalsRowCellStyle="Porcentagem">
      <calculatedColumnFormula>IFERROR(Tabela_dados_base[[#This Row],[Clicks redes sociais]]/Tabela_dados_base[[#This Row],[Total de Clicks]],"")</calculatedColumnFormula>
      <totalsRowFormula>Tabela_dados_base[[#Totals],[Clicks redes sociais]]/Tabela_dados_base[[#Totals],[Total de Clicks]]</totalsRowFormula>
    </tableColumn>
    <tableColumn id="15" xr3:uid="{EC2724D6-B23F-F94A-8725-DBA962493982}" uniqueName="15" name="CTR" totalsRowFunction="custom" queryTableFieldId="15" dataDxfId="5" totalsRowDxfId="4" dataCellStyle="Vírgula" totalsRowCellStyle="Porcentagem">
      <calculatedColumnFormula>Tabela_dados_base[[#This Row],[Total de Clicks]]/Tabela_dados_base[[#This Row],[Visualizações]]</calculatedColumnFormula>
      <totalsRowFormula>Tabela_dados_base[[#Totals],[Total de Clicks]]/Tabela_dados_base[[#Totals],[Visualizações]]</totalsRowFormula>
    </tableColumn>
    <tableColumn id="17" xr3:uid="{528E66FB-FEC9-294A-9B71-8D42F889F256}" uniqueName="17" name="% de vezes pesquisados" queryTableFieldId="17" dataDxfId="3" totalsRowDxfId="2" dataCellStyle="Porcentagem" totalsRowCellStyle="Porcentagem">
      <calculatedColumnFormula>Tabela_dados_base[[#This Row],[Vezes pesquisados]]/Tabela_dados_base[[#This Row],[Visualizações]]</calculatedColumnFormula>
    </tableColumn>
    <tableColumn id="18" xr3:uid="{CAFDB5AC-F8A4-B44B-834E-2C39EBD4DEA9}" uniqueName="18" name="% de visitas diretas" queryTableFieldId="18" dataDxfId="1" totalsRowDxfId="0" dataCellStyle="Porcentagem" totalsRowCellStyle="Porcentagem">
      <calculatedColumnFormula>Tabela_dados_base[[#This Row],[Visitas Diretas]]/Tabela_dados_base[[#This Row],[Visualizações]]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3660C8E5-E5FB-EE4B-80D1-B27D29B083AC}" sourceName="Data">
  <pivotTables>
    <pivotTable tabId="5" name="Tabela dinâmica1"/>
  </pivotTables>
  <state minimalRefreshVersion="6" lastRefreshVersion="6" pivotCacheId="535130092" filterType="dateBetween">
    <selection startDate="2021-01-01T00:00:00" endDate="2021-12-31T00:00:00"/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FA2EF34F-45A4-694E-B53C-9A137D8F4D02}" cache="NativeTimeline_Data" caption="Data" showSelectionLabel="0" showTimeLevel="0" level="2" selectionLevel="0" scrollPosition="2021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14FC8-6EAA-5340-B8D9-D76EDB40EDB9}">
  <dimension ref="A1"/>
  <sheetViews>
    <sheetView showGridLines="0" zoomScale="125" workbookViewId="0">
      <selection activeCell="P11" sqref="P11"/>
    </sheetView>
  </sheetViews>
  <sheetFormatPr baseColWidth="10" defaultRowHeight="16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8C681-0344-194A-88D8-CE71DAF8B083}">
  <dimension ref="A1:G17"/>
  <sheetViews>
    <sheetView showGridLines="0" topLeftCell="A6" zoomScale="172" workbookViewId="0">
      <selection activeCell="D17" sqref="D17"/>
    </sheetView>
  </sheetViews>
  <sheetFormatPr baseColWidth="10" defaultRowHeight="16" x14ac:dyDescent="0.2"/>
  <cols>
    <col min="1" max="1" width="30.6640625" bestFit="1" customWidth="1"/>
    <col min="2" max="2" width="11.6640625" bestFit="1" customWidth="1"/>
    <col min="3" max="3" width="13.6640625" bestFit="1" customWidth="1"/>
    <col min="4" max="4" width="14.5" customWidth="1"/>
    <col min="6" max="6" width="23.33203125" bestFit="1" customWidth="1"/>
  </cols>
  <sheetData>
    <row r="1" spans="1:7" x14ac:dyDescent="0.2">
      <c r="A1" s="10" t="s">
        <v>28</v>
      </c>
      <c r="B1" s="11"/>
      <c r="C1" s="11"/>
      <c r="D1" s="11"/>
      <c r="E1" s="11"/>
      <c r="F1" s="19" t="s">
        <v>30</v>
      </c>
      <c r="G1" s="20" t="str">
        <f>INDEX(_xlfn.ANCHORARRAY(A4),MATCH(LARGE(C4:C6,1),C4:C6,0),1)</f>
        <v>Article_1</v>
      </c>
    </row>
    <row r="2" spans="1:7" x14ac:dyDescent="0.2">
      <c r="A2" s="12"/>
      <c r="F2" s="17" t="s">
        <v>31</v>
      </c>
      <c r="G2" s="18">
        <f>AVERAGE(C4:C6)</f>
        <v>278830</v>
      </c>
    </row>
    <row r="3" spans="1:7" ht="30" customHeight="1" thickBot="1" x14ac:dyDescent="0.25">
      <c r="A3" s="26" t="s">
        <v>29</v>
      </c>
      <c r="B3" s="27" t="s">
        <v>2</v>
      </c>
      <c r="C3" s="27" t="s">
        <v>11</v>
      </c>
      <c r="D3" s="27" t="s">
        <v>32</v>
      </c>
      <c r="E3" s="8"/>
      <c r="F3" s="8"/>
      <c r="G3" s="21"/>
    </row>
    <row r="4" spans="1:7" x14ac:dyDescent="0.2">
      <c r="A4" s="12" t="str" cm="1">
        <f t="array" ref="A4:A6">_xlfn.UNIQUE(Tabela_dados_base[Article URL])</f>
        <v>Article_1</v>
      </c>
      <c r="B4" s="22" t="str">
        <f>_xlfn.XLOOKUP(A4,Tabela_dados_base[Article URL],Tabela_dados_base[Categoria])</f>
        <v>UX</v>
      </c>
      <c r="C4" s="24">
        <f>SUMIF(Tabela_dados_base[Article URL],Cards!A4,Tabela_dados_base[Visualizações])</f>
        <v>676860</v>
      </c>
      <c r="D4" s="24" t="str">
        <f>IF(C4&gt;$G$2,"Acima",IF(C4=$G$2,"Na média","Abaixo"))</f>
        <v>Acima</v>
      </c>
      <c r="G4" s="13"/>
    </row>
    <row r="5" spans="1:7" x14ac:dyDescent="0.2">
      <c r="A5" s="12" t="str">
        <v>Article_10</v>
      </c>
      <c r="B5" s="22" t="str">
        <f>_xlfn.XLOOKUP(A5,Tabela_dados_base[Article URL],Tabela_dados_base[Categoria])</f>
        <v>Gestão</v>
      </c>
      <c r="C5" s="24">
        <f>SUMIF(Tabela_dados_base[Article URL],Cards!A5,Tabela_dados_base[Visualizações])</f>
        <v>18699</v>
      </c>
      <c r="D5" s="24" t="str">
        <f t="shared" ref="D5:D6" si="0">IF(C5&gt;$G$2,"Acima",IF(C5=$G$2,"Na média","Abaixo"))</f>
        <v>Abaixo</v>
      </c>
      <c r="G5" s="13"/>
    </row>
    <row r="6" spans="1:7" ht="17" thickBot="1" x14ac:dyDescent="0.25">
      <c r="A6" s="14" t="str">
        <v>Article_100</v>
      </c>
      <c r="B6" s="23" t="str">
        <f>_xlfn.XLOOKUP(A6,Tabela_dados_base[Article URL],Tabela_dados_base[Categoria])</f>
        <v>Data Science</v>
      </c>
      <c r="C6" s="25">
        <f>SUMIF(Tabela_dados_base[Article URL],Cards!A6,Tabela_dados_base[Visualizações])</f>
        <v>140931</v>
      </c>
      <c r="D6" s="25" t="str">
        <f t="shared" si="0"/>
        <v>Abaixo</v>
      </c>
      <c r="E6" s="15"/>
      <c r="F6" s="15"/>
      <c r="G6" s="16"/>
    </row>
    <row r="7" spans="1:7" ht="17" thickBot="1" x14ac:dyDescent="0.25"/>
    <row r="8" spans="1:7" x14ac:dyDescent="0.2">
      <c r="A8" s="10" t="s">
        <v>33</v>
      </c>
      <c r="B8" s="11"/>
      <c r="C8" s="11"/>
      <c r="D8" s="11"/>
      <c r="E8" s="11"/>
      <c r="F8" s="19" t="s">
        <v>34</v>
      </c>
      <c r="G8" s="20" t="str">
        <f>INDEX(_xlfn.ANCHORARRAY(A11),MATCH(LARGE(B11:B13,1),B11:B13,0),1)</f>
        <v>UX</v>
      </c>
    </row>
    <row r="9" spans="1:7" x14ac:dyDescent="0.2">
      <c r="A9" s="12"/>
      <c r="F9" s="17" t="s">
        <v>31</v>
      </c>
      <c r="G9" s="18">
        <f>AVERAGE(B11:B13)</f>
        <v>278830</v>
      </c>
    </row>
    <row r="10" spans="1:7" ht="52" thickBot="1" x14ac:dyDescent="0.25">
      <c r="A10" s="26" t="s">
        <v>2</v>
      </c>
      <c r="B10" s="27" t="s">
        <v>11</v>
      </c>
      <c r="C10" s="27" t="s">
        <v>32</v>
      </c>
      <c r="E10" s="8"/>
      <c r="F10" s="8"/>
      <c r="G10" s="21"/>
    </row>
    <row r="11" spans="1:7" x14ac:dyDescent="0.2">
      <c r="A11" s="12" t="str" cm="1">
        <f t="array" ref="A11:A13">_xlfn.UNIQUE(Tabela_dados_base[Categoria])</f>
        <v>UX</v>
      </c>
      <c r="B11" s="24">
        <f>SUMIF(Tabela_dados_base[Categoria],Cards!A11,Tabela_dados_base[Visualizações])</f>
        <v>676860</v>
      </c>
      <c r="C11" s="24" t="str">
        <f>IF(B11&gt;$G$2,"Acima",IF(B11=$G$2,"Na média","Abaixo"))</f>
        <v>Acima</v>
      </c>
      <c r="G11" s="13"/>
    </row>
    <row r="12" spans="1:7" x14ac:dyDescent="0.2">
      <c r="A12" s="12" t="str">
        <v>Gestão</v>
      </c>
      <c r="B12" s="24">
        <f>SUMIF(Tabela_dados_base[Categoria],Cards!A12,Tabela_dados_base[Visualizações])</f>
        <v>18699</v>
      </c>
      <c r="C12" s="24" t="str">
        <f t="shared" ref="C12:C13" si="1">IF(B12&gt;$G$2,"Acima",IF(B12=$G$2,"Na média","Abaixo"))</f>
        <v>Abaixo</v>
      </c>
      <c r="G12" s="13"/>
    </row>
    <row r="13" spans="1:7" ht="17" thickBot="1" x14ac:dyDescent="0.25">
      <c r="A13" s="14" t="str">
        <v>Data Science</v>
      </c>
      <c r="B13" s="25">
        <f>SUMIF(Tabela_dados_base[Categoria],Cards!A13,Tabela_dados_base[Visualizações])</f>
        <v>140931</v>
      </c>
      <c r="C13" s="25" t="str">
        <f t="shared" si="1"/>
        <v>Abaixo</v>
      </c>
      <c r="D13" s="15"/>
      <c r="E13" s="15"/>
      <c r="F13" s="15"/>
      <c r="G13" s="16"/>
    </row>
    <row r="15" spans="1:7" x14ac:dyDescent="0.2">
      <c r="A15" t="s">
        <v>35</v>
      </c>
    </row>
    <row r="17" spans="1:3" x14ac:dyDescent="0.2">
      <c r="A17" t="s">
        <v>36</v>
      </c>
      <c r="B17" t="s">
        <v>2</v>
      </c>
      <c r="C17" t="s">
        <v>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0A12D-392F-BD42-9E55-221CAAB89242}">
  <dimension ref="A1:B5"/>
  <sheetViews>
    <sheetView showGridLines="0" zoomScale="125" workbookViewId="0">
      <selection activeCell="A30" sqref="A30"/>
    </sheetView>
  </sheetViews>
  <sheetFormatPr baseColWidth="10" defaultRowHeight="16" x14ac:dyDescent="0.2"/>
  <cols>
    <col min="1" max="1" width="46.5" bestFit="1" customWidth="1"/>
    <col min="2" max="2" width="13.5" bestFit="1" customWidth="1"/>
    <col min="3" max="7" width="6.6640625" bestFit="1" customWidth="1"/>
    <col min="8" max="8" width="10.33203125" bestFit="1" customWidth="1"/>
    <col min="9" max="30" width="18.83203125" bestFit="1" customWidth="1"/>
    <col min="31" max="31" width="8.33203125" bestFit="1" customWidth="1"/>
    <col min="32" max="62" width="6" bestFit="1" customWidth="1"/>
    <col min="63" max="63" width="7.83203125" bestFit="1" customWidth="1"/>
    <col min="64" max="94" width="7" bestFit="1" customWidth="1"/>
    <col min="95" max="95" width="8.83203125" bestFit="1" customWidth="1"/>
    <col min="96" max="125" width="6.5" bestFit="1" customWidth="1"/>
    <col min="126" max="126" width="8.33203125" bestFit="1" customWidth="1"/>
    <col min="127" max="157" width="6.6640625" bestFit="1" customWidth="1"/>
    <col min="158" max="158" width="8.5" bestFit="1" customWidth="1"/>
    <col min="159" max="188" width="7" bestFit="1" customWidth="1"/>
    <col min="189" max="189" width="8.83203125" bestFit="1" customWidth="1"/>
    <col min="190" max="190" width="10.33203125" bestFit="1" customWidth="1"/>
  </cols>
  <sheetData>
    <row r="1" spans="1:2" x14ac:dyDescent="0.2">
      <c r="A1" s="31" t="s">
        <v>36</v>
      </c>
      <c r="B1" s="32" t="s">
        <v>39</v>
      </c>
    </row>
    <row r="2" spans="1:2" x14ac:dyDescent="0.2">
      <c r="A2" s="29" t="s">
        <v>19</v>
      </c>
      <c r="B2" s="30">
        <v>43882</v>
      </c>
    </row>
    <row r="3" spans="1:2" x14ac:dyDescent="0.2">
      <c r="A3" s="29" t="s">
        <v>16</v>
      </c>
      <c r="B3" s="30">
        <v>4757</v>
      </c>
    </row>
    <row r="4" spans="1:2" x14ac:dyDescent="0.2">
      <c r="A4" s="29" t="s">
        <v>13</v>
      </c>
      <c r="B4" s="30">
        <v>213589</v>
      </c>
    </row>
    <row r="5" spans="1:2" x14ac:dyDescent="0.2">
      <c r="A5" s="32" t="s">
        <v>40</v>
      </c>
      <c r="B5" s="30">
        <v>262228</v>
      </c>
    </row>
  </sheetData>
  <pageMargins left="0.511811024" right="0.511811024" top="0.78740157499999996" bottom="0.78740157499999996" header="0.31496062000000002" footer="0.31496062000000002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0DB1-D0D6-E44A-B638-4F33CA070953}">
  <dimension ref="A1:B6"/>
  <sheetViews>
    <sheetView showGridLines="0" tabSelected="1" workbookViewId="0">
      <selection activeCell="E17" sqref="E17"/>
    </sheetView>
  </sheetViews>
  <sheetFormatPr baseColWidth="10" defaultRowHeight="16" x14ac:dyDescent="0.2"/>
  <cols>
    <col min="1" max="1" width="17.5" bestFit="1" customWidth="1"/>
    <col min="2" max="2" width="32" bestFit="1" customWidth="1"/>
    <col min="3" max="3" width="32.6640625" bestFit="1" customWidth="1"/>
    <col min="4" max="4" width="17.5" bestFit="1" customWidth="1"/>
    <col min="5" max="5" width="32" bestFit="1" customWidth="1"/>
    <col min="6" max="31" width="7" bestFit="1" customWidth="1"/>
    <col min="32" max="49" width="6.5" bestFit="1" customWidth="1"/>
    <col min="50" max="68" width="6.6640625" bestFit="1" customWidth="1"/>
    <col min="69" max="80" width="7" bestFit="1" customWidth="1"/>
    <col min="81" max="81" width="52.6640625" bestFit="1" customWidth="1"/>
    <col min="82" max="82" width="32" bestFit="1" customWidth="1"/>
    <col min="83" max="104" width="6.5" bestFit="1" customWidth="1"/>
    <col min="105" max="121" width="6" bestFit="1" customWidth="1"/>
    <col min="122" max="147" width="7" bestFit="1" customWidth="1"/>
    <col min="148" max="156" width="6.5" bestFit="1" customWidth="1"/>
    <col min="157" max="163" width="6.6640625" bestFit="1" customWidth="1"/>
    <col min="164" max="170" width="7" bestFit="1" customWidth="1"/>
    <col min="171" max="171" width="34.6640625" bestFit="1" customWidth="1"/>
    <col min="172" max="172" width="39.5" bestFit="1" customWidth="1"/>
    <col min="173" max="201" width="6.5" bestFit="1" customWidth="1"/>
    <col min="202" max="206" width="6" bestFit="1" customWidth="1"/>
    <col min="207" max="207" width="6.1640625" bestFit="1" customWidth="1"/>
    <col min="208" max="230" width="6" bestFit="1" customWidth="1"/>
    <col min="231" max="231" width="6.1640625" bestFit="1" customWidth="1"/>
    <col min="232" max="232" width="6" bestFit="1" customWidth="1"/>
    <col min="233" max="263" width="7" bestFit="1" customWidth="1"/>
    <col min="264" max="293" width="6.5" bestFit="1" customWidth="1"/>
    <col min="294" max="324" width="6.6640625" bestFit="1" customWidth="1"/>
    <col min="325" max="354" width="7" bestFit="1" customWidth="1"/>
    <col min="355" max="355" width="42.1640625" bestFit="1" customWidth="1"/>
    <col min="356" max="356" width="10.33203125" bestFit="1" customWidth="1"/>
  </cols>
  <sheetData>
    <row r="1" spans="1:2" x14ac:dyDescent="0.2">
      <c r="A1" t="s">
        <v>41</v>
      </c>
    </row>
    <row r="2" spans="1:2" x14ac:dyDescent="0.2">
      <c r="A2" s="28" t="s">
        <v>38</v>
      </c>
      <c r="B2" t="s">
        <v>42</v>
      </c>
    </row>
    <row r="3" spans="1:2" x14ac:dyDescent="0.2">
      <c r="A3" s="29" t="s">
        <v>20</v>
      </c>
      <c r="B3" s="30">
        <v>465672</v>
      </c>
    </row>
    <row r="4" spans="1:2" x14ac:dyDescent="0.2">
      <c r="A4" s="29" t="s">
        <v>17</v>
      </c>
      <c r="B4" s="30">
        <v>50548</v>
      </c>
    </row>
    <row r="5" spans="1:2" x14ac:dyDescent="0.2">
      <c r="A5" s="29" t="s">
        <v>14</v>
      </c>
      <c r="B5" s="30">
        <v>1689074</v>
      </c>
    </row>
    <row r="6" spans="1:2" x14ac:dyDescent="0.2">
      <c r="A6" s="29" t="s">
        <v>37</v>
      </c>
      <c r="B6" s="30">
        <v>2205294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EE066-2F03-6F40-A2DD-8E5DEA569E91}">
  <dimension ref="A1:R358"/>
  <sheetViews>
    <sheetView topLeftCell="E1" zoomScale="170" workbookViewId="0">
      <selection activeCell="I2" sqref="I2"/>
    </sheetView>
  </sheetViews>
  <sheetFormatPr baseColWidth="10" defaultColWidth="14.5" defaultRowHeight="16" x14ac:dyDescent="0.2"/>
  <cols>
    <col min="2" max="2" width="46.5" bestFit="1" customWidth="1"/>
  </cols>
  <sheetData>
    <row r="1" spans="1:18" ht="51" x14ac:dyDescent="0.2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25</v>
      </c>
      <c r="N1" s="8" t="s">
        <v>22</v>
      </c>
      <c r="O1" s="8" t="s">
        <v>23</v>
      </c>
      <c r="P1" s="8" t="s">
        <v>24</v>
      </c>
      <c r="Q1" s="8" t="s">
        <v>26</v>
      </c>
      <c r="R1" s="8" t="s">
        <v>27</v>
      </c>
    </row>
    <row r="2" spans="1:18" x14ac:dyDescent="0.2">
      <c r="A2" t="s">
        <v>12</v>
      </c>
      <c r="B2" t="s">
        <v>13</v>
      </c>
      <c r="C2" t="s">
        <v>14</v>
      </c>
      <c r="D2">
        <v>1047</v>
      </c>
      <c r="E2" s="1">
        <v>44348</v>
      </c>
      <c r="F2" s="2">
        <v>73</v>
      </c>
      <c r="G2" s="2">
        <v>116</v>
      </c>
      <c r="H2" s="2">
        <v>0</v>
      </c>
      <c r="I2" s="2">
        <v>1120</v>
      </c>
      <c r="J2" s="2">
        <v>189</v>
      </c>
      <c r="K2" s="2">
        <v>33</v>
      </c>
      <c r="L2" s="2">
        <v>444</v>
      </c>
      <c r="M2" s="2">
        <f>Tabela_dados_base[[#This Row],[Clicks pagos]]+Tabela_dados_base[[#This Row],[Clicks redes sociais]]</f>
        <v>189</v>
      </c>
      <c r="N2" s="5">
        <f>IFERROR(Tabela_dados_base[[#This Row],[Clicks pagos]]/Tabela_dados_base[[#This Row],[Total de Clicks]],"")</f>
        <v>0</v>
      </c>
      <c r="O2" s="5">
        <f>IFERROR(Tabela_dados_base[[#This Row],[Clicks redes sociais]]/Tabela_dados_base[[#This Row],[Total de Clicks]],"")</f>
        <v>1</v>
      </c>
      <c r="P2" s="5">
        <f>Tabela_dados_base[[#This Row],[Total de Clicks]]/Tabela_dados_base[[#This Row],[Visualizações]]</f>
        <v>0.42567567567567566</v>
      </c>
      <c r="Q2" s="5">
        <f>Tabela_dados_base[[#This Row],[Vezes pesquisados]]/Tabela_dados_base[[#This Row],[Visualizações]]</f>
        <v>7.4324324324324328E-2</v>
      </c>
      <c r="R2" s="5">
        <f>Tabela_dados_base[[#This Row],[Visitas Diretas]]/Tabela_dados_base[[#This Row],[Visualizações]]</f>
        <v>0.16441441441441443</v>
      </c>
    </row>
    <row r="3" spans="1:18" x14ac:dyDescent="0.2">
      <c r="A3" t="s">
        <v>12</v>
      </c>
      <c r="B3" t="s">
        <v>13</v>
      </c>
      <c r="C3" t="s">
        <v>14</v>
      </c>
      <c r="D3">
        <v>1047</v>
      </c>
      <c r="E3" s="1">
        <v>44349</v>
      </c>
      <c r="F3" s="2">
        <v>103</v>
      </c>
      <c r="G3" s="2">
        <v>165</v>
      </c>
      <c r="H3" s="2">
        <v>0</v>
      </c>
      <c r="I3" s="2">
        <v>1649</v>
      </c>
      <c r="J3" s="2">
        <v>268</v>
      </c>
      <c r="K3" s="2">
        <v>46</v>
      </c>
      <c r="L3" s="2">
        <v>587</v>
      </c>
      <c r="M3" s="2">
        <f>Tabela_dados_base[[#This Row],[Clicks pagos]]+Tabela_dados_base[[#This Row],[Clicks redes sociais]]</f>
        <v>268</v>
      </c>
      <c r="N3" s="5">
        <f>IFERROR(Tabela_dados_base[[#This Row],[Clicks pagos]]/Tabela_dados_base[[#This Row],[Total de Clicks]],"")</f>
        <v>0</v>
      </c>
      <c r="O3" s="5">
        <f>IFERROR(Tabela_dados_base[[#This Row],[Clicks redes sociais]]/Tabela_dados_base[[#This Row],[Total de Clicks]],"")</f>
        <v>1</v>
      </c>
      <c r="P3" s="6">
        <f>Tabela_dados_base[[#This Row],[Total de Clicks]]/Tabela_dados_base[[#This Row],[Visualizações]]</f>
        <v>0.45655877342419082</v>
      </c>
      <c r="Q3" s="5">
        <f>Tabela_dados_base[[#This Row],[Vezes pesquisados]]/Tabela_dados_base[[#This Row],[Visualizações]]</f>
        <v>7.8364565587734247E-2</v>
      </c>
      <c r="R3" s="5">
        <f>Tabela_dados_base[[#This Row],[Visitas Diretas]]/Tabela_dados_base[[#This Row],[Visualizações]]</f>
        <v>0.17546848381601363</v>
      </c>
    </row>
    <row r="4" spans="1:18" x14ac:dyDescent="0.2">
      <c r="A4" t="s">
        <v>12</v>
      </c>
      <c r="B4" t="s">
        <v>13</v>
      </c>
      <c r="C4" t="s">
        <v>14</v>
      </c>
      <c r="D4">
        <v>1047</v>
      </c>
      <c r="E4" s="1">
        <v>44350</v>
      </c>
      <c r="F4" s="2">
        <v>582</v>
      </c>
      <c r="G4" s="2">
        <v>932</v>
      </c>
      <c r="H4" s="2">
        <v>0</v>
      </c>
      <c r="I4" s="2">
        <v>9220</v>
      </c>
      <c r="J4" s="2">
        <v>1514</v>
      </c>
      <c r="K4" s="2">
        <v>262</v>
      </c>
      <c r="L4" s="2">
        <v>2968</v>
      </c>
      <c r="M4" s="2">
        <f>Tabela_dados_base[[#This Row],[Clicks pagos]]+Tabela_dados_base[[#This Row],[Clicks redes sociais]]</f>
        <v>1514</v>
      </c>
      <c r="N4" s="5">
        <f>IFERROR(Tabela_dados_base[[#This Row],[Clicks pagos]]/Tabela_dados_base[[#This Row],[Total de Clicks]],"")</f>
        <v>0</v>
      </c>
      <c r="O4" s="5">
        <f>IFERROR(Tabela_dados_base[[#This Row],[Clicks redes sociais]]/Tabela_dados_base[[#This Row],[Total de Clicks]],"")</f>
        <v>1</v>
      </c>
      <c r="P4" s="6">
        <f>Tabela_dados_base[[#This Row],[Total de Clicks]]/Tabela_dados_base[[#This Row],[Visualizações]]</f>
        <v>0.51010781671159033</v>
      </c>
      <c r="Q4" s="5">
        <f>Tabela_dados_base[[#This Row],[Vezes pesquisados]]/Tabela_dados_base[[#This Row],[Visualizações]]</f>
        <v>8.8274932614555254E-2</v>
      </c>
      <c r="R4" s="5">
        <f>Tabela_dados_base[[#This Row],[Visitas Diretas]]/Tabela_dados_base[[#This Row],[Visualizações]]</f>
        <v>0.19609164420485176</v>
      </c>
    </row>
    <row r="5" spans="1:18" x14ac:dyDescent="0.2">
      <c r="A5" t="s">
        <v>12</v>
      </c>
      <c r="B5" t="s">
        <v>13</v>
      </c>
      <c r="C5" t="s">
        <v>14</v>
      </c>
      <c r="D5">
        <v>1047</v>
      </c>
      <c r="E5" s="1">
        <v>44351</v>
      </c>
      <c r="F5" s="2">
        <v>255</v>
      </c>
      <c r="G5" s="2">
        <v>408</v>
      </c>
      <c r="H5" s="2">
        <v>0</v>
      </c>
      <c r="I5" s="2">
        <v>4545</v>
      </c>
      <c r="J5" s="2">
        <v>664</v>
      </c>
      <c r="K5" s="2">
        <v>115</v>
      </c>
      <c r="L5" s="2">
        <v>1368</v>
      </c>
      <c r="M5" s="2">
        <f>Tabela_dados_base[[#This Row],[Clicks pagos]]+Tabela_dados_base[[#This Row],[Clicks redes sociais]]</f>
        <v>664</v>
      </c>
      <c r="N5" s="5">
        <f>IFERROR(Tabela_dados_base[[#This Row],[Clicks pagos]]/Tabela_dados_base[[#This Row],[Total de Clicks]],"")</f>
        <v>0</v>
      </c>
      <c r="O5" s="5">
        <f>IFERROR(Tabela_dados_base[[#This Row],[Clicks redes sociais]]/Tabela_dados_base[[#This Row],[Total de Clicks]],"")</f>
        <v>1</v>
      </c>
      <c r="P5" s="6">
        <f>Tabela_dados_base[[#This Row],[Total de Clicks]]/Tabela_dados_base[[#This Row],[Visualizações]]</f>
        <v>0.4853801169590643</v>
      </c>
      <c r="Q5" s="5">
        <f>Tabela_dados_base[[#This Row],[Vezes pesquisados]]/Tabela_dados_base[[#This Row],[Visualizações]]</f>
        <v>8.4064327485380119E-2</v>
      </c>
      <c r="R5" s="5">
        <f>Tabela_dados_base[[#This Row],[Visitas Diretas]]/Tabela_dados_base[[#This Row],[Visualizações]]</f>
        <v>0.18640350877192982</v>
      </c>
    </row>
    <row r="6" spans="1:18" x14ac:dyDescent="0.2">
      <c r="A6" t="s">
        <v>12</v>
      </c>
      <c r="B6" t="s">
        <v>13</v>
      </c>
      <c r="C6" t="s">
        <v>14</v>
      </c>
      <c r="D6">
        <v>1047</v>
      </c>
      <c r="E6" s="1">
        <v>44352</v>
      </c>
      <c r="F6" s="2">
        <v>665</v>
      </c>
      <c r="G6" s="2">
        <v>1064</v>
      </c>
      <c r="H6" s="2">
        <v>0</v>
      </c>
      <c r="I6" s="2">
        <v>6479</v>
      </c>
      <c r="J6" s="2">
        <v>1729</v>
      </c>
      <c r="K6" s="2">
        <v>299</v>
      </c>
      <c r="L6" s="2">
        <v>3369</v>
      </c>
      <c r="M6" s="2">
        <f>Tabela_dados_base[[#This Row],[Clicks pagos]]+Tabela_dados_base[[#This Row],[Clicks redes sociais]]</f>
        <v>1729</v>
      </c>
      <c r="N6" s="5">
        <f>IFERROR(Tabela_dados_base[[#This Row],[Clicks pagos]]/Tabela_dados_base[[#This Row],[Total de Clicks]],"")</f>
        <v>0</v>
      </c>
      <c r="O6" s="5">
        <f>IFERROR(Tabela_dados_base[[#This Row],[Clicks redes sociais]]/Tabela_dados_base[[#This Row],[Total de Clicks]],"")</f>
        <v>1</v>
      </c>
      <c r="P6" s="6">
        <f>Tabela_dados_base[[#This Row],[Total de Clicks]]/Tabela_dados_base[[#This Row],[Visualizações]]</f>
        <v>0.51320866726031467</v>
      </c>
      <c r="Q6" s="5">
        <f>Tabela_dados_base[[#This Row],[Vezes pesquisados]]/Tabela_dados_base[[#This Row],[Visualizações]]</f>
        <v>8.8750371029979222E-2</v>
      </c>
      <c r="R6" s="5">
        <f>Tabela_dados_base[[#This Row],[Visitas Diretas]]/Tabela_dados_base[[#This Row],[Visualizações]]</f>
        <v>0.19738794894627487</v>
      </c>
    </row>
    <row r="7" spans="1:18" x14ac:dyDescent="0.2">
      <c r="A7" t="s">
        <v>12</v>
      </c>
      <c r="B7" t="s">
        <v>13</v>
      </c>
      <c r="C7" t="s">
        <v>14</v>
      </c>
      <c r="D7">
        <v>1047</v>
      </c>
      <c r="E7" s="1">
        <v>44353</v>
      </c>
      <c r="F7" s="2">
        <v>61</v>
      </c>
      <c r="G7" s="2">
        <v>98</v>
      </c>
      <c r="H7" s="2">
        <v>0</v>
      </c>
      <c r="I7" s="2">
        <v>519</v>
      </c>
      <c r="J7" s="2">
        <v>159</v>
      </c>
      <c r="K7" s="2">
        <v>28</v>
      </c>
      <c r="L7" s="2">
        <v>319</v>
      </c>
      <c r="M7" s="2">
        <f>Tabela_dados_base[[#This Row],[Clicks pagos]]+Tabela_dados_base[[#This Row],[Clicks redes sociais]]</f>
        <v>159</v>
      </c>
      <c r="N7" s="5">
        <f>IFERROR(Tabela_dados_base[[#This Row],[Clicks pagos]]/Tabela_dados_base[[#This Row],[Total de Clicks]],"")</f>
        <v>0</v>
      </c>
      <c r="O7" s="5">
        <f>IFERROR(Tabela_dados_base[[#This Row],[Clicks redes sociais]]/Tabela_dados_base[[#This Row],[Total de Clicks]],"")</f>
        <v>1</v>
      </c>
      <c r="P7" s="6">
        <f>Tabela_dados_base[[#This Row],[Total de Clicks]]/Tabela_dados_base[[#This Row],[Visualizações]]</f>
        <v>0.49843260188087773</v>
      </c>
      <c r="Q7" s="5">
        <f>Tabela_dados_base[[#This Row],[Vezes pesquisados]]/Tabela_dados_base[[#This Row],[Visualizações]]</f>
        <v>8.7774294670846395E-2</v>
      </c>
      <c r="R7" s="5">
        <f>Tabela_dados_base[[#This Row],[Visitas Diretas]]/Tabela_dados_base[[#This Row],[Visualizações]]</f>
        <v>0.19122257053291536</v>
      </c>
    </row>
    <row r="8" spans="1:18" x14ac:dyDescent="0.2">
      <c r="A8" t="s">
        <v>12</v>
      </c>
      <c r="B8" t="s">
        <v>13</v>
      </c>
      <c r="C8" t="s">
        <v>14</v>
      </c>
      <c r="D8">
        <v>1047</v>
      </c>
      <c r="E8" s="1">
        <v>44354</v>
      </c>
      <c r="F8" s="2">
        <v>125</v>
      </c>
      <c r="G8" s="2">
        <v>200</v>
      </c>
      <c r="H8" s="2">
        <v>113</v>
      </c>
      <c r="I8" s="2">
        <v>1136</v>
      </c>
      <c r="J8" s="2">
        <v>325</v>
      </c>
      <c r="K8" s="2">
        <v>56</v>
      </c>
      <c r="L8" s="2">
        <v>706</v>
      </c>
      <c r="M8" s="2">
        <f>Tabela_dados_base[[#This Row],[Clicks pagos]]+Tabela_dados_base[[#This Row],[Clicks redes sociais]]</f>
        <v>438</v>
      </c>
      <c r="N8" s="5">
        <f>IFERROR(Tabela_dados_base[[#This Row],[Clicks pagos]]/Tabela_dados_base[[#This Row],[Total de Clicks]],"")</f>
        <v>0.25799086757990869</v>
      </c>
      <c r="O8" s="5">
        <f>IFERROR(Tabela_dados_base[[#This Row],[Clicks redes sociais]]/Tabela_dados_base[[#This Row],[Total de Clicks]],"")</f>
        <v>0.74200913242009137</v>
      </c>
      <c r="P8" s="6">
        <f>Tabela_dados_base[[#This Row],[Total de Clicks]]/Tabela_dados_base[[#This Row],[Visualizações]]</f>
        <v>0.6203966005665722</v>
      </c>
      <c r="Q8" s="5">
        <f>Tabela_dados_base[[#This Row],[Vezes pesquisados]]/Tabela_dados_base[[#This Row],[Visualizações]]</f>
        <v>7.9320113314447591E-2</v>
      </c>
      <c r="R8" s="5">
        <f>Tabela_dados_base[[#This Row],[Visitas Diretas]]/Tabela_dados_base[[#This Row],[Visualizações]]</f>
        <v>0.17705382436260622</v>
      </c>
    </row>
    <row r="9" spans="1:18" x14ac:dyDescent="0.2">
      <c r="A9" t="s">
        <v>12</v>
      </c>
      <c r="B9" t="s">
        <v>13</v>
      </c>
      <c r="C9" t="s">
        <v>14</v>
      </c>
      <c r="D9">
        <v>1047</v>
      </c>
      <c r="E9" s="1">
        <v>44355</v>
      </c>
      <c r="F9" s="2">
        <v>634</v>
      </c>
      <c r="G9" s="2">
        <v>1014</v>
      </c>
      <c r="H9" s="2">
        <v>570</v>
      </c>
      <c r="I9" s="2">
        <v>7993</v>
      </c>
      <c r="J9" s="2">
        <v>1647</v>
      </c>
      <c r="K9" s="2">
        <v>285</v>
      </c>
      <c r="L9" s="2">
        <v>3200</v>
      </c>
      <c r="M9" s="2">
        <f>Tabela_dados_base[[#This Row],[Clicks pagos]]+Tabela_dados_base[[#This Row],[Clicks redes sociais]]</f>
        <v>2217</v>
      </c>
      <c r="N9" s="5">
        <f>IFERROR(Tabela_dados_base[[#This Row],[Clicks pagos]]/Tabela_dados_base[[#This Row],[Total de Clicks]],"")</f>
        <v>0.25710419485791608</v>
      </c>
      <c r="O9" s="5">
        <f>IFERROR(Tabela_dados_base[[#This Row],[Clicks redes sociais]]/Tabela_dados_base[[#This Row],[Total de Clicks]],"")</f>
        <v>0.74289580514208386</v>
      </c>
      <c r="P9" s="6">
        <f>Tabela_dados_base[[#This Row],[Total de Clicks]]/Tabela_dados_base[[#This Row],[Visualizações]]</f>
        <v>0.69281250000000005</v>
      </c>
      <c r="Q9" s="5">
        <f>Tabela_dados_base[[#This Row],[Vezes pesquisados]]/Tabela_dados_base[[#This Row],[Visualizações]]</f>
        <v>8.9062500000000003E-2</v>
      </c>
      <c r="R9" s="5">
        <f>Tabela_dados_base[[#This Row],[Visitas Diretas]]/Tabela_dados_base[[#This Row],[Visualizações]]</f>
        <v>0.198125</v>
      </c>
    </row>
    <row r="10" spans="1:18" x14ac:dyDescent="0.2">
      <c r="A10" t="s">
        <v>12</v>
      </c>
      <c r="B10" t="s">
        <v>13</v>
      </c>
      <c r="C10" t="s">
        <v>14</v>
      </c>
      <c r="D10">
        <v>1047</v>
      </c>
      <c r="E10" s="1">
        <v>44356</v>
      </c>
      <c r="F10" s="2">
        <v>1346</v>
      </c>
      <c r="G10" s="2">
        <v>2154</v>
      </c>
      <c r="H10" s="2">
        <v>0</v>
      </c>
      <c r="I10" s="2">
        <v>12753</v>
      </c>
      <c r="J10" s="2">
        <v>3501</v>
      </c>
      <c r="K10" s="2">
        <v>606</v>
      </c>
      <c r="L10" s="2">
        <v>6789</v>
      </c>
      <c r="M10" s="2">
        <f>Tabela_dados_base[[#This Row],[Clicks pagos]]+Tabela_dados_base[[#This Row],[Clicks redes sociais]]</f>
        <v>3501</v>
      </c>
      <c r="N10" s="5">
        <f>IFERROR(Tabela_dados_base[[#This Row],[Clicks pagos]]/Tabela_dados_base[[#This Row],[Total de Clicks]],"")</f>
        <v>0</v>
      </c>
      <c r="O10" s="5">
        <f>IFERROR(Tabela_dados_base[[#This Row],[Clicks redes sociais]]/Tabela_dados_base[[#This Row],[Total de Clicks]],"")</f>
        <v>1</v>
      </c>
      <c r="P10" s="6">
        <f>Tabela_dados_base[[#This Row],[Total de Clicks]]/Tabela_dados_base[[#This Row],[Visualizações]]</f>
        <v>0.51568714096332302</v>
      </c>
      <c r="Q10" s="5">
        <f>Tabela_dados_base[[#This Row],[Vezes pesquisados]]/Tabela_dados_base[[#This Row],[Visualizações]]</f>
        <v>8.9262041537781708E-2</v>
      </c>
      <c r="R10" s="5">
        <f>Tabela_dados_base[[#This Row],[Visitas Diretas]]/Tabela_dados_base[[#This Row],[Visualizações]]</f>
        <v>0.19826189424068347</v>
      </c>
    </row>
    <row r="11" spans="1:18" x14ac:dyDescent="0.2">
      <c r="A11" t="s">
        <v>12</v>
      </c>
      <c r="B11" t="s">
        <v>13</v>
      </c>
      <c r="C11" t="s">
        <v>14</v>
      </c>
      <c r="D11">
        <v>1047</v>
      </c>
      <c r="E11" s="1">
        <v>44357</v>
      </c>
      <c r="F11" s="2">
        <v>104</v>
      </c>
      <c r="G11" s="2">
        <v>166</v>
      </c>
      <c r="H11" s="2">
        <v>0</v>
      </c>
      <c r="I11" s="2">
        <v>807</v>
      </c>
      <c r="J11" s="2">
        <v>270</v>
      </c>
      <c r="K11" s="2">
        <v>47</v>
      </c>
      <c r="L11" s="2">
        <v>523</v>
      </c>
      <c r="M11" s="2">
        <f>Tabela_dados_base[[#This Row],[Clicks pagos]]+Tabela_dados_base[[#This Row],[Clicks redes sociais]]</f>
        <v>270</v>
      </c>
      <c r="N11" s="5">
        <f>IFERROR(Tabela_dados_base[[#This Row],[Clicks pagos]]/Tabela_dados_base[[#This Row],[Total de Clicks]],"")</f>
        <v>0</v>
      </c>
      <c r="O11" s="5">
        <f>IFERROR(Tabela_dados_base[[#This Row],[Clicks redes sociais]]/Tabela_dados_base[[#This Row],[Total de Clicks]],"")</f>
        <v>1</v>
      </c>
      <c r="P11" s="6">
        <f>Tabela_dados_base[[#This Row],[Total de Clicks]]/Tabela_dados_base[[#This Row],[Visualizações]]</f>
        <v>0.51625239005736134</v>
      </c>
      <c r="Q11" s="5">
        <f>Tabela_dados_base[[#This Row],[Vezes pesquisados]]/Tabela_dados_base[[#This Row],[Visualizações]]</f>
        <v>8.9866156787762913E-2</v>
      </c>
      <c r="R11" s="5">
        <f>Tabela_dados_base[[#This Row],[Visitas Diretas]]/Tabela_dados_base[[#This Row],[Visualizações]]</f>
        <v>0.19885277246653921</v>
      </c>
    </row>
    <row r="12" spans="1:18" x14ac:dyDescent="0.2">
      <c r="A12" t="s">
        <v>12</v>
      </c>
      <c r="B12" t="s">
        <v>13</v>
      </c>
      <c r="C12" t="s">
        <v>14</v>
      </c>
      <c r="D12">
        <v>1047</v>
      </c>
      <c r="E12" s="1">
        <v>44358</v>
      </c>
      <c r="F12" s="2">
        <v>756</v>
      </c>
      <c r="G12" s="2">
        <v>1210</v>
      </c>
      <c r="H12" s="2">
        <v>0</v>
      </c>
      <c r="I12" s="2">
        <v>12701</v>
      </c>
      <c r="J12" s="2">
        <v>1966</v>
      </c>
      <c r="K12" s="2">
        <v>340</v>
      </c>
      <c r="L12" s="2">
        <v>3828</v>
      </c>
      <c r="M12" s="2">
        <f>Tabela_dados_base[[#This Row],[Clicks pagos]]+Tabela_dados_base[[#This Row],[Clicks redes sociais]]</f>
        <v>1966</v>
      </c>
      <c r="N12" s="5">
        <f>IFERROR(Tabela_dados_base[[#This Row],[Clicks pagos]]/Tabela_dados_base[[#This Row],[Total de Clicks]],"")</f>
        <v>0</v>
      </c>
      <c r="O12" s="5">
        <f>IFERROR(Tabela_dados_base[[#This Row],[Clicks redes sociais]]/Tabela_dados_base[[#This Row],[Total de Clicks]],"")</f>
        <v>1</v>
      </c>
      <c r="P12" s="6">
        <f>Tabela_dados_base[[#This Row],[Total de Clicks]]/Tabela_dados_base[[#This Row],[Visualizações]]</f>
        <v>0.51358411703239293</v>
      </c>
      <c r="Q12" s="5">
        <f>Tabela_dados_base[[#This Row],[Vezes pesquisados]]/Tabela_dados_base[[#This Row],[Visualizações]]</f>
        <v>8.8819226750261229E-2</v>
      </c>
      <c r="R12" s="5">
        <f>Tabela_dados_base[[#This Row],[Visitas Diretas]]/Tabela_dados_base[[#This Row],[Visualizações]]</f>
        <v>0.19749216300940439</v>
      </c>
    </row>
    <row r="13" spans="1:18" x14ac:dyDescent="0.2">
      <c r="A13" t="s">
        <v>12</v>
      </c>
      <c r="B13" t="s">
        <v>13</v>
      </c>
      <c r="C13" t="s">
        <v>14</v>
      </c>
      <c r="D13">
        <v>1047</v>
      </c>
      <c r="E13" s="1">
        <v>44359</v>
      </c>
      <c r="F13" s="2">
        <v>2756</v>
      </c>
      <c r="G13" s="2">
        <v>4410</v>
      </c>
      <c r="H13" s="2">
        <v>0</v>
      </c>
      <c r="I13" s="2">
        <v>32631</v>
      </c>
      <c r="J13" s="2">
        <v>7166</v>
      </c>
      <c r="K13" s="2">
        <v>1240</v>
      </c>
      <c r="L13" s="2">
        <v>13879</v>
      </c>
      <c r="M13" s="2">
        <f>Tabela_dados_base[[#This Row],[Clicks pagos]]+Tabela_dados_base[[#This Row],[Clicks redes sociais]]</f>
        <v>7166</v>
      </c>
      <c r="N13" s="5">
        <f>IFERROR(Tabela_dados_base[[#This Row],[Clicks pagos]]/Tabela_dados_base[[#This Row],[Total de Clicks]],"")</f>
        <v>0</v>
      </c>
      <c r="O13" s="5">
        <f>IFERROR(Tabela_dados_base[[#This Row],[Clicks redes sociais]]/Tabela_dados_base[[#This Row],[Total de Clicks]],"")</f>
        <v>1</v>
      </c>
      <c r="P13" s="6">
        <f>Tabela_dados_base[[#This Row],[Total de Clicks]]/Tabela_dados_base[[#This Row],[Visualizações]]</f>
        <v>0.51631961956913319</v>
      </c>
      <c r="Q13" s="5">
        <f>Tabela_dados_base[[#This Row],[Vezes pesquisados]]/Tabela_dados_base[[#This Row],[Visualizações]]</f>
        <v>8.9343612652208373E-2</v>
      </c>
      <c r="R13" s="5">
        <f>Tabela_dados_base[[#This Row],[Visitas Diretas]]/Tabela_dados_base[[#This Row],[Visualizações]]</f>
        <v>0.1985733842495857</v>
      </c>
    </row>
    <row r="14" spans="1:18" x14ac:dyDescent="0.2">
      <c r="A14" t="s">
        <v>12</v>
      </c>
      <c r="B14" t="s">
        <v>13</v>
      </c>
      <c r="C14" t="s">
        <v>14</v>
      </c>
      <c r="D14">
        <v>1047</v>
      </c>
      <c r="E14" s="1">
        <v>44360</v>
      </c>
      <c r="F14" s="2">
        <v>481</v>
      </c>
      <c r="G14" s="2">
        <v>770</v>
      </c>
      <c r="H14" s="2">
        <v>0</v>
      </c>
      <c r="I14" s="2">
        <v>8925</v>
      </c>
      <c r="J14" s="2">
        <v>1251</v>
      </c>
      <c r="K14" s="2">
        <v>216</v>
      </c>
      <c r="L14" s="2">
        <v>2489</v>
      </c>
      <c r="M14" s="2">
        <f>Tabela_dados_base[[#This Row],[Clicks pagos]]+Tabela_dados_base[[#This Row],[Clicks redes sociais]]</f>
        <v>1251</v>
      </c>
      <c r="N14" s="5">
        <f>IFERROR(Tabela_dados_base[[#This Row],[Clicks pagos]]/Tabela_dados_base[[#This Row],[Total de Clicks]],"")</f>
        <v>0</v>
      </c>
      <c r="O14" s="5">
        <f>IFERROR(Tabela_dados_base[[#This Row],[Clicks redes sociais]]/Tabela_dados_base[[#This Row],[Total de Clicks]],"")</f>
        <v>1</v>
      </c>
      <c r="P14" s="6">
        <f>Tabela_dados_base[[#This Row],[Total de Clicks]]/Tabela_dados_base[[#This Row],[Visualizações]]</f>
        <v>0.50261149055845722</v>
      </c>
      <c r="Q14" s="5">
        <f>Tabela_dados_base[[#This Row],[Vezes pesquisados]]/Tabela_dados_base[[#This Row],[Visualizações]]</f>
        <v>8.678184009642427E-2</v>
      </c>
      <c r="R14" s="5">
        <f>Tabela_dados_base[[#This Row],[Visitas Diretas]]/Tabela_dados_base[[#This Row],[Visualizações]]</f>
        <v>0.19325030132583368</v>
      </c>
    </row>
    <row r="15" spans="1:18" x14ac:dyDescent="0.2">
      <c r="A15" t="s">
        <v>12</v>
      </c>
      <c r="B15" t="s">
        <v>13</v>
      </c>
      <c r="C15" t="s">
        <v>14</v>
      </c>
      <c r="D15">
        <v>1047</v>
      </c>
      <c r="E15" s="1">
        <v>44361</v>
      </c>
      <c r="F15" s="2">
        <v>1688</v>
      </c>
      <c r="G15" s="2">
        <v>2701</v>
      </c>
      <c r="H15" s="2">
        <v>0</v>
      </c>
      <c r="I15" s="2">
        <v>8970</v>
      </c>
      <c r="J15" s="2">
        <v>4390</v>
      </c>
      <c r="K15" s="2">
        <v>760</v>
      </c>
      <c r="L15" s="2">
        <v>8524</v>
      </c>
      <c r="M15" s="2">
        <f>Tabela_dados_base[[#This Row],[Clicks pagos]]+Tabela_dados_base[[#This Row],[Clicks redes sociais]]</f>
        <v>4390</v>
      </c>
      <c r="N15" s="5">
        <f>IFERROR(Tabela_dados_base[[#This Row],[Clicks pagos]]/Tabela_dados_base[[#This Row],[Total de Clicks]],"")</f>
        <v>0</v>
      </c>
      <c r="O15" s="5">
        <f>IFERROR(Tabela_dados_base[[#This Row],[Clicks redes sociais]]/Tabela_dados_base[[#This Row],[Total de Clicks]],"")</f>
        <v>1</v>
      </c>
      <c r="P15" s="6">
        <f>Tabela_dados_base[[#This Row],[Total de Clicks]]/Tabela_dados_base[[#This Row],[Visualizações]]</f>
        <v>0.51501642421398408</v>
      </c>
      <c r="Q15" s="5">
        <f>Tabela_dados_base[[#This Row],[Vezes pesquisados]]/Tabela_dados_base[[#This Row],[Visualizações]]</f>
        <v>8.9160018770530272E-2</v>
      </c>
      <c r="R15" s="5">
        <f>Tabela_dados_base[[#This Row],[Visitas Diretas]]/Tabela_dados_base[[#This Row],[Visualizações]]</f>
        <v>0.19802909432191459</v>
      </c>
    </row>
    <row r="16" spans="1:18" x14ac:dyDescent="0.2">
      <c r="A16" t="s">
        <v>12</v>
      </c>
      <c r="B16" t="s">
        <v>13</v>
      </c>
      <c r="C16" t="s">
        <v>14</v>
      </c>
      <c r="D16">
        <v>1047</v>
      </c>
      <c r="E16" s="1">
        <v>44362</v>
      </c>
      <c r="F16" s="2">
        <v>360</v>
      </c>
      <c r="G16" s="2">
        <v>575</v>
      </c>
      <c r="H16" s="2">
        <v>0</v>
      </c>
      <c r="I16" s="2">
        <v>4325</v>
      </c>
      <c r="J16" s="2">
        <v>935</v>
      </c>
      <c r="K16" s="2">
        <v>162</v>
      </c>
      <c r="L16" s="2">
        <v>1863</v>
      </c>
      <c r="M16" s="2">
        <f>Tabela_dados_base[[#This Row],[Clicks pagos]]+Tabela_dados_base[[#This Row],[Clicks redes sociais]]</f>
        <v>935</v>
      </c>
      <c r="N16" s="5">
        <f>IFERROR(Tabela_dados_base[[#This Row],[Clicks pagos]]/Tabela_dados_base[[#This Row],[Total de Clicks]],"")</f>
        <v>0</v>
      </c>
      <c r="O16" s="5">
        <f>IFERROR(Tabela_dados_base[[#This Row],[Clicks redes sociais]]/Tabela_dados_base[[#This Row],[Total de Clicks]],"")</f>
        <v>1</v>
      </c>
      <c r="P16" s="6">
        <f>Tabela_dados_base[[#This Row],[Total de Clicks]]/Tabela_dados_base[[#This Row],[Visualizações]]</f>
        <v>0.50187869028448739</v>
      </c>
      <c r="Q16" s="5">
        <f>Tabela_dados_base[[#This Row],[Vezes pesquisados]]/Tabela_dados_base[[#This Row],[Visualizações]]</f>
        <v>8.6956521739130432E-2</v>
      </c>
      <c r="R16" s="5">
        <f>Tabela_dados_base[[#This Row],[Visitas Diretas]]/Tabela_dados_base[[#This Row],[Visualizações]]</f>
        <v>0.19323671497584541</v>
      </c>
    </row>
    <row r="17" spans="1:18" x14ac:dyDescent="0.2">
      <c r="A17" t="s">
        <v>12</v>
      </c>
      <c r="B17" t="s">
        <v>13</v>
      </c>
      <c r="C17" t="s">
        <v>14</v>
      </c>
      <c r="D17">
        <v>1047</v>
      </c>
      <c r="E17" s="1">
        <v>44363</v>
      </c>
      <c r="F17" s="2">
        <v>648</v>
      </c>
      <c r="G17" s="2">
        <v>1037</v>
      </c>
      <c r="H17" s="2">
        <v>0</v>
      </c>
      <c r="I17" s="2">
        <v>5818</v>
      </c>
      <c r="J17" s="2">
        <v>1685</v>
      </c>
      <c r="K17" s="2">
        <v>292</v>
      </c>
      <c r="L17" s="2">
        <v>3279</v>
      </c>
      <c r="M17" s="2">
        <f>Tabela_dados_base[[#This Row],[Clicks pagos]]+Tabela_dados_base[[#This Row],[Clicks redes sociais]]</f>
        <v>1685</v>
      </c>
      <c r="N17" s="5">
        <f>IFERROR(Tabela_dados_base[[#This Row],[Clicks pagos]]/Tabela_dados_base[[#This Row],[Total de Clicks]],"")</f>
        <v>0</v>
      </c>
      <c r="O17" s="5">
        <f>IFERROR(Tabela_dados_base[[#This Row],[Clicks redes sociais]]/Tabela_dados_base[[#This Row],[Total de Clicks]],"")</f>
        <v>1</v>
      </c>
      <c r="P17" s="6">
        <f>Tabela_dados_base[[#This Row],[Total de Clicks]]/Tabela_dados_base[[#This Row],[Visualizações]]</f>
        <v>0.51387618176273253</v>
      </c>
      <c r="Q17" s="5">
        <f>Tabela_dados_base[[#This Row],[Vezes pesquisados]]/Tabela_dados_base[[#This Row],[Visualizações]]</f>
        <v>8.9051540103690152E-2</v>
      </c>
      <c r="R17" s="5">
        <f>Tabela_dados_base[[#This Row],[Visitas Diretas]]/Tabela_dados_base[[#This Row],[Visualizações]]</f>
        <v>0.19762122598353157</v>
      </c>
    </row>
    <row r="18" spans="1:18" x14ac:dyDescent="0.2">
      <c r="A18" t="s">
        <v>12</v>
      </c>
      <c r="B18" t="s">
        <v>13</v>
      </c>
      <c r="C18" t="s">
        <v>14</v>
      </c>
      <c r="D18">
        <v>1047</v>
      </c>
      <c r="E18" s="1">
        <v>44364</v>
      </c>
      <c r="F18" s="2">
        <v>85</v>
      </c>
      <c r="G18" s="2">
        <v>136</v>
      </c>
      <c r="H18" s="2">
        <v>0</v>
      </c>
      <c r="I18" s="2">
        <v>623</v>
      </c>
      <c r="J18" s="2">
        <v>221</v>
      </c>
      <c r="K18" s="2">
        <v>38</v>
      </c>
      <c r="L18" s="2">
        <v>506</v>
      </c>
      <c r="M18" s="2">
        <f>Tabela_dados_base[[#This Row],[Clicks pagos]]+Tabela_dados_base[[#This Row],[Clicks redes sociais]]</f>
        <v>221</v>
      </c>
      <c r="N18" s="5">
        <f>IFERROR(Tabela_dados_base[[#This Row],[Clicks pagos]]/Tabela_dados_base[[#This Row],[Total de Clicks]],"")</f>
        <v>0</v>
      </c>
      <c r="O18" s="5">
        <f>IFERROR(Tabela_dados_base[[#This Row],[Clicks redes sociais]]/Tabela_dados_base[[#This Row],[Total de Clicks]],"")</f>
        <v>1</v>
      </c>
      <c r="P18" s="6">
        <f>Tabela_dados_base[[#This Row],[Total de Clicks]]/Tabela_dados_base[[#This Row],[Visualizações]]</f>
        <v>0.43675889328063239</v>
      </c>
      <c r="Q18" s="5">
        <f>Tabela_dados_base[[#This Row],[Vezes pesquisados]]/Tabela_dados_base[[#This Row],[Visualizações]]</f>
        <v>7.5098814229249009E-2</v>
      </c>
      <c r="R18" s="5">
        <f>Tabela_dados_base[[#This Row],[Visitas Diretas]]/Tabela_dados_base[[#This Row],[Visualizações]]</f>
        <v>0.16798418972332016</v>
      </c>
    </row>
    <row r="19" spans="1:18" x14ac:dyDescent="0.2">
      <c r="A19" t="s">
        <v>12</v>
      </c>
      <c r="B19" t="s">
        <v>13</v>
      </c>
      <c r="C19" t="s">
        <v>14</v>
      </c>
      <c r="D19">
        <v>1047</v>
      </c>
      <c r="E19" s="1">
        <v>44365</v>
      </c>
      <c r="F19" s="2">
        <v>520</v>
      </c>
      <c r="G19" s="2">
        <v>832</v>
      </c>
      <c r="H19" s="2">
        <v>0</v>
      </c>
      <c r="I19" s="2">
        <v>7585</v>
      </c>
      <c r="J19" s="2">
        <v>1352</v>
      </c>
      <c r="K19" s="2">
        <v>234</v>
      </c>
      <c r="L19" s="2">
        <v>2617</v>
      </c>
      <c r="M19" s="2">
        <f>Tabela_dados_base[[#This Row],[Clicks pagos]]+Tabela_dados_base[[#This Row],[Clicks redes sociais]]</f>
        <v>1352</v>
      </c>
      <c r="N19" s="5">
        <f>IFERROR(Tabela_dados_base[[#This Row],[Clicks pagos]]/Tabela_dados_base[[#This Row],[Total de Clicks]],"")</f>
        <v>0</v>
      </c>
      <c r="O19" s="5">
        <f>IFERROR(Tabela_dados_base[[#This Row],[Clicks redes sociais]]/Tabela_dados_base[[#This Row],[Total de Clicks]],"")</f>
        <v>1</v>
      </c>
      <c r="P19" s="6">
        <f>Tabela_dados_base[[#This Row],[Total de Clicks]]/Tabela_dados_base[[#This Row],[Visualizações]]</f>
        <v>0.51662208635842566</v>
      </c>
      <c r="Q19" s="5">
        <f>Tabela_dados_base[[#This Row],[Vezes pesquisados]]/Tabela_dados_base[[#This Row],[Visualizações]]</f>
        <v>8.9415361100496749E-2</v>
      </c>
      <c r="R19" s="5">
        <f>Tabela_dados_base[[#This Row],[Visitas Diretas]]/Tabela_dados_base[[#This Row],[Visualizações]]</f>
        <v>0.19870080244554833</v>
      </c>
    </row>
    <row r="20" spans="1:18" x14ac:dyDescent="0.2">
      <c r="A20" t="s">
        <v>12</v>
      </c>
      <c r="B20" t="s">
        <v>13</v>
      </c>
      <c r="C20" t="s">
        <v>14</v>
      </c>
      <c r="D20">
        <v>1047</v>
      </c>
      <c r="E20" s="1">
        <v>44366</v>
      </c>
      <c r="F20" s="2">
        <v>344</v>
      </c>
      <c r="G20" s="2">
        <v>550</v>
      </c>
      <c r="H20" s="2">
        <v>0</v>
      </c>
      <c r="I20" s="2">
        <v>6934</v>
      </c>
      <c r="J20" s="2">
        <v>894</v>
      </c>
      <c r="K20" s="2">
        <v>155</v>
      </c>
      <c r="L20" s="2">
        <v>1796</v>
      </c>
      <c r="M20" s="2">
        <f>Tabela_dados_base[[#This Row],[Clicks pagos]]+Tabela_dados_base[[#This Row],[Clicks redes sociais]]</f>
        <v>894</v>
      </c>
      <c r="N20" s="5">
        <f>IFERROR(Tabela_dados_base[[#This Row],[Clicks pagos]]/Tabela_dados_base[[#This Row],[Total de Clicks]],"")</f>
        <v>0</v>
      </c>
      <c r="O20" s="5">
        <f>IFERROR(Tabela_dados_base[[#This Row],[Clicks redes sociais]]/Tabela_dados_base[[#This Row],[Total de Clicks]],"")</f>
        <v>1</v>
      </c>
      <c r="P20" s="6">
        <f>Tabela_dados_base[[#This Row],[Total de Clicks]]/Tabela_dados_base[[#This Row],[Visualizações]]</f>
        <v>0.49777282850779508</v>
      </c>
      <c r="Q20" s="5">
        <f>Tabela_dados_base[[#This Row],[Vezes pesquisados]]/Tabela_dados_base[[#This Row],[Visualizações]]</f>
        <v>8.630289532293986E-2</v>
      </c>
      <c r="R20" s="5">
        <f>Tabela_dados_base[[#This Row],[Visitas Diretas]]/Tabela_dados_base[[#This Row],[Visualizações]]</f>
        <v>0.19153674832962139</v>
      </c>
    </row>
    <row r="21" spans="1:18" x14ac:dyDescent="0.2">
      <c r="A21" t="s">
        <v>12</v>
      </c>
      <c r="B21" t="s">
        <v>13</v>
      </c>
      <c r="C21" t="s">
        <v>14</v>
      </c>
      <c r="D21">
        <v>1047</v>
      </c>
      <c r="E21" s="1">
        <v>44367</v>
      </c>
      <c r="F21" s="2">
        <v>171</v>
      </c>
      <c r="G21" s="2">
        <v>274</v>
      </c>
      <c r="H21" s="2">
        <v>0</v>
      </c>
      <c r="I21" s="2">
        <v>3160</v>
      </c>
      <c r="J21" s="2">
        <v>445</v>
      </c>
      <c r="K21" s="2">
        <v>77</v>
      </c>
      <c r="L21" s="2">
        <v>946</v>
      </c>
      <c r="M21" s="2">
        <f>Tabela_dados_base[[#This Row],[Clicks pagos]]+Tabela_dados_base[[#This Row],[Clicks redes sociais]]</f>
        <v>445</v>
      </c>
      <c r="N21" s="5">
        <f>IFERROR(Tabela_dados_base[[#This Row],[Clicks pagos]]/Tabela_dados_base[[#This Row],[Total de Clicks]],"")</f>
        <v>0</v>
      </c>
      <c r="O21" s="5">
        <f>IFERROR(Tabela_dados_base[[#This Row],[Clicks redes sociais]]/Tabela_dados_base[[#This Row],[Total de Clicks]],"")</f>
        <v>1</v>
      </c>
      <c r="P21" s="6">
        <f>Tabela_dados_base[[#This Row],[Total de Clicks]]/Tabela_dados_base[[#This Row],[Visualizações]]</f>
        <v>0.47040169133192389</v>
      </c>
      <c r="Q21" s="5">
        <f>Tabela_dados_base[[#This Row],[Vezes pesquisados]]/Tabela_dados_base[[#This Row],[Visualizações]]</f>
        <v>8.1395348837209308E-2</v>
      </c>
      <c r="R21" s="5">
        <f>Tabela_dados_base[[#This Row],[Visitas Diretas]]/Tabela_dados_base[[#This Row],[Visualizações]]</f>
        <v>0.18076109936575052</v>
      </c>
    </row>
    <row r="22" spans="1:18" x14ac:dyDescent="0.2">
      <c r="A22" t="s">
        <v>12</v>
      </c>
      <c r="B22" t="s">
        <v>13</v>
      </c>
      <c r="C22" t="s">
        <v>14</v>
      </c>
      <c r="D22">
        <v>1047</v>
      </c>
      <c r="E22" s="1">
        <v>44368</v>
      </c>
      <c r="F22" s="2">
        <v>442</v>
      </c>
      <c r="G22" s="2">
        <v>707</v>
      </c>
      <c r="H22" s="2">
        <v>0</v>
      </c>
      <c r="I22" s="2">
        <v>8283</v>
      </c>
      <c r="J22" s="2">
        <v>1148</v>
      </c>
      <c r="K22" s="2">
        <v>199</v>
      </c>
      <c r="L22" s="2">
        <v>2308</v>
      </c>
      <c r="M22" s="2">
        <f>Tabela_dados_base[[#This Row],[Clicks pagos]]+Tabela_dados_base[[#This Row],[Clicks redes sociais]]</f>
        <v>1148</v>
      </c>
      <c r="N22" s="5">
        <f>IFERROR(Tabela_dados_base[[#This Row],[Clicks pagos]]/Tabela_dados_base[[#This Row],[Total de Clicks]],"")</f>
        <v>0</v>
      </c>
      <c r="O22" s="5">
        <f>IFERROR(Tabela_dados_base[[#This Row],[Clicks redes sociais]]/Tabela_dados_base[[#This Row],[Total de Clicks]],"")</f>
        <v>1</v>
      </c>
      <c r="P22" s="6">
        <f>Tabela_dados_base[[#This Row],[Total de Clicks]]/Tabela_dados_base[[#This Row],[Visualizações]]</f>
        <v>0.49740034662045063</v>
      </c>
      <c r="Q22" s="5">
        <f>Tabela_dados_base[[#This Row],[Vezes pesquisados]]/Tabela_dados_base[[#This Row],[Visualizações]]</f>
        <v>8.6221837088388209E-2</v>
      </c>
      <c r="R22" s="5">
        <f>Tabela_dados_base[[#This Row],[Visitas Diretas]]/Tabela_dados_base[[#This Row],[Visualizações]]</f>
        <v>0.19150779896013864</v>
      </c>
    </row>
    <row r="23" spans="1:18" x14ac:dyDescent="0.2">
      <c r="A23" t="s">
        <v>12</v>
      </c>
      <c r="B23" t="s">
        <v>13</v>
      </c>
      <c r="C23" t="s">
        <v>14</v>
      </c>
      <c r="D23">
        <v>1047</v>
      </c>
      <c r="E23" s="1">
        <v>44369</v>
      </c>
      <c r="F23" s="2">
        <v>522</v>
      </c>
      <c r="G23" s="2">
        <v>835</v>
      </c>
      <c r="H23" s="2">
        <v>0</v>
      </c>
      <c r="I23" s="2">
        <v>9286</v>
      </c>
      <c r="J23" s="2">
        <v>1357</v>
      </c>
      <c r="K23" s="2">
        <v>235</v>
      </c>
      <c r="L23" s="2">
        <v>2635</v>
      </c>
      <c r="M23" s="2">
        <f>Tabela_dados_base[[#This Row],[Clicks pagos]]+Tabela_dados_base[[#This Row],[Clicks redes sociais]]</f>
        <v>1357</v>
      </c>
      <c r="N23" s="5">
        <f>IFERROR(Tabela_dados_base[[#This Row],[Clicks pagos]]/Tabela_dados_base[[#This Row],[Total de Clicks]],"")</f>
        <v>0</v>
      </c>
      <c r="O23" s="5">
        <f>IFERROR(Tabela_dados_base[[#This Row],[Clicks redes sociais]]/Tabela_dados_base[[#This Row],[Total de Clicks]],"")</f>
        <v>1</v>
      </c>
      <c r="P23" s="6">
        <f>Tabela_dados_base[[#This Row],[Total de Clicks]]/Tabela_dados_base[[#This Row],[Visualizações]]</f>
        <v>0.51499051233396587</v>
      </c>
      <c r="Q23" s="5">
        <f>Tabela_dados_base[[#This Row],[Vezes pesquisados]]/Tabela_dados_base[[#This Row],[Visualizações]]</f>
        <v>8.9184060721062622E-2</v>
      </c>
      <c r="R23" s="5">
        <f>Tabela_dados_base[[#This Row],[Visitas Diretas]]/Tabela_dados_base[[#This Row],[Visualizações]]</f>
        <v>0.19810246679316887</v>
      </c>
    </row>
    <row r="24" spans="1:18" x14ac:dyDescent="0.2">
      <c r="A24" t="s">
        <v>12</v>
      </c>
      <c r="B24" t="s">
        <v>13</v>
      </c>
      <c r="C24" t="s">
        <v>14</v>
      </c>
      <c r="D24">
        <v>1047</v>
      </c>
      <c r="E24" s="1">
        <v>44370</v>
      </c>
      <c r="F24" s="2">
        <v>1118</v>
      </c>
      <c r="G24" s="2">
        <v>1788</v>
      </c>
      <c r="H24" s="2">
        <v>0</v>
      </c>
      <c r="I24" s="2">
        <v>11664</v>
      </c>
      <c r="J24" s="2">
        <v>2906</v>
      </c>
      <c r="K24" s="2">
        <v>503</v>
      </c>
      <c r="L24" s="2">
        <v>5678</v>
      </c>
      <c r="M24" s="2">
        <f>Tabela_dados_base[[#This Row],[Clicks pagos]]+Tabela_dados_base[[#This Row],[Clicks redes sociais]]</f>
        <v>2906</v>
      </c>
      <c r="N24" s="5">
        <f>IFERROR(Tabela_dados_base[[#This Row],[Clicks pagos]]/Tabela_dados_base[[#This Row],[Total de Clicks]],"")</f>
        <v>0</v>
      </c>
      <c r="O24" s="5">
        <f>IFERROR(Tabela_dados_base[[#This Row],[Clicks redes sociais]]/Tabela_dados_base[[#This Row],[Total de Clicks]],"")</f>
        <v>1</v>
      </c>
      <c r="P24" s="6">
        <f>Tabela_dados_base[[#This Row],[Total de Clicks]]/Tabela_dados_base[[#This Row],[Visualizações]]</f>
        <v>0.51179992955265941</v>
      </c>
      <c r="Q24" s="5">
        <f>Tabela_dados_base[[#This Row],[Vezes pesquisados]]/Tabela_dados_base[[#This Row],[Visualizações]]</f>
        <v>8.8587530820711524E-2</v>
      </c>
      <c r="R24" s="5">
        <f>Tabela_dados_base[[#This Row],[Visitas Diretas]]/Tabela_dados_base[[#This Row],[Visualizações]]</f>
        <v>0.19690031701303276</v>
      </c>
    </row>
    <row r="25" spans="1:18" x14ac:dyDescent="0.2">
      <c r="A25" t="s">
        <v>12</v>
      </c>
      <c r="B25" t="s">
        <v>13</v>
      </c>
      <c r="C25" t="s">
        <v>14</v>
      </c>
      <c r="D25">
        <v>1047</v>
      </c>
      <c r="E25" s="1">
        <v>44371</v>
      </c>
      <c r="F25" s="2">
        <v>145</v>
      </c>
      <c r="G25" s="2">
        <v>232</v>
      </c>
      <c r="H25" s="2">
        <v>0</v>
      </c>
      <c r="I25" s="2">
        <v>1681</v>
      </c>
      <c r="J25" s="2">
        <v>377</v>
      </c>
      <c r="K25" s="2">
        <v>65</v>
      </c>
      <c r="L25" s="2">
        <v>733</v>
      </c>
      <c r="M25" s="2">
        <f>Tabela_dados_base[[#This Row],[Clicks pagos]]+Tabela_dados_base[[#This Row],[Clicks redes sociais]]</f>
        <v>377</v>
      </c>
      <c r="N25" s="5">
        <f>IFERROR(Tabela_dados_base[[#This Row],[Clicks pagos]]/Tabela_dados_base[[#This Row],[Total de Clicks]],"")</f>
        <v>0</v>
      </c>
      <c r="O25" s="5">
        <f>IFERROR(Tabela_dados_base[[#This Row],[Clicks redes sociais]]/Tabela_dados_base[[#This Row],[Total de Clicks]],"")</f>
        <v>1</v>
      </c>
      <c r="P25" s="6">
        <f>Tabela_dados_base[[#This Row],[Total de Clicks]]/Tabela_dados_base[[#This Row],[Visualizações]]</f>
        <v>0.514324693042292</v>
      </c>
      <c r="Q25" s="5">
        <f>Tabela_dados_base[[#This Row],[Vezes pesquisados]]/Tabela_dados_base[[#This Row],[Visualizações]]</f>
        <v>8.8676671214188263E-2</v>
      </c>
      <c r="R25" s="5">
        <f>Tabela_dados_base[[#This Row],[Visitas Diretas]]/Tabela_dados_base[[#This Row],[Visualizações]]</f>
        <v>0.19781718963165076</v>
      </c>
    </row>
    <row r="26" spans="1:18" x14ac:dyDescent="0.2">
      <c r="A26" t="s">
        <v>12</v>
      </c>
      <c r="B26" t="s">
        <v>13</v>
      </c>
      <c r="C26" t="s">
        <v>14</v>
      </c>
      <c r="D26">
        <v>1047</v>
      </c>
      <c r="E26" s="1">
        <v>44372</v>
      </c>
      <c r="F26" s="2">
        <v>385</v>
      </c>
      <c r="G26" s="2">
        <v>616</v>
      </c>
      <c r="H26" s="2">
        <v>0</v>
      </c>
      <c r="I26" s="2">
        <v>7767</v>
      </c>
      <c r="J26" s="2">
        <v>1000</v>
      </c>
      <c r="K26" s="2">
        <v>173</v>
      </c>
      <c r="L26" s="2">
        <v>1999</v>
      </c>
      <c r="M26" s="2">
        <f>Tabela_dados_base[[#This Row],[Clicks pagos]]+Tabela_dados_base[[#This Row],[Clicks redes sociais]]</f>
        <v>1000</v>
      </c>
      <c r="N26" s="5">
        <f>IFERROR(Tabela_dados_base[[#This Row],[Clicks pagos]]/Tabela_dados_base[[#This Row],[Total de Clicks]],"")</f>
        <v>0</v>
      </c>
      <c r="O26" s="5">
        <f>IFERROR(Tabela_dados_base[[#This Row],[Clicks redes sociais]]/Tabela_dados_base[[#This Row],[Total de Clicks]],"")</f>
        <v>1</v>
      </c>
      <c r="P26" s="6">
        <f>Tabela_dados_base[[#This Row],[Total de Clicks]]/Tabela_dados_base[[#This Row],[Visualizações]]</f>
        <v>0.5002501250625313</v>
      </c>
      <c r="Q26" s="5">
        <f>Tabela_dados_base[[#This Row],[Vezes pesquisados]]/Tabela_dados_base[[#This Row],[Visualizações]]</f>
        <v>8.6543271635817903E-2</v>
      </c>
      <c r="R26" s="5">
        <f>Tabela_dados_base[[#This Row],[Visitas Diretas]]/Tabela_dados_base[[#This Row],[Visualizações]]</f>
        <v>0.19259629814907453</v>
      </c>
    </row>
    <row r="27" spans="1:18" x14ac:dyDescent="0.2">
      <c r="A27" t="s">
        <v>12</v>
      </c>
      <c r="B27" t="s">
        <v>13</v>
      </c>
      <c r="C27" t="s">
        <v>14</v>
      </c>
      <c r="D27">
        <v>1047</v>
      </c>
      <c r="E27" s="1">
        <v>44373</v>
      </c>
      <c r="F27" s="2">
        <v>154</v>
      </c>
      <c r="G27" s="2">
        <v>246</v>
      </c>
      <c r="H27" s="2">
        <v>0</v>
      </c>
      <c r="I27" s="2">
        <v>1706</v>
      </c>
      <c r="J27" s="2">
        <v>400</v>
      </c>
      <c r="K27" s="2">
        <v>69</v>
      </c>
      <c r="L27" s="2">
        <v>822</v>
      </c>
      <c r="M27" s="2">
        <f>Tabela_dados_base[[#This Row],[Clicks pagos]]+Tabela_dados_base[[#This Row],[Clicks redes sociais]]</f>
        <v>400</v>
      </c>
      <c r="N27" s="5">
        <f>IFERROR(Tabela_dados_base[[#This Row],[Clicks pagos]]/Tabela_dados_base[[#This Row],[Total de Clicks]],"")</f>
        <v>0</v>
      </c>
      <c r="O27" s="5">
        <f>IFERROR(Tabela_dados_base[[#This Row],[Clicks redes sociais]]/Tabela_dados_base[[#This Row],[Total de Clicks]],"")</f>
        <v>1</v>
      </c>
      <c r="P27" s="6">
        <f>Tabela_dados_base[[#This Row],[Total de Clicks]]/Tabela_dados_base[[#This Row],[Visualizações]]</f>
        <v>0.48661800486618007</v>
      </c>
      <c r="Q27" s="5">
        <f>Tabela_dados_base[[#This Row],[Vezes pesquisados]]/Tabela_dados_base[[#This Row],[Visualizações]]</f>
        <v>8.3941605839416053E-2</v>
      </c>
      <c r="R27" s="5">
        <f>Tabela_dados_base[[#This Row],[Visitas Diretas]]/Tabela_dados_base[[#This Row],[Visualizações]]</f>
        <v>0.18734793187347931</v>
      </c>
    </row>
    <row r="28" spans="1:18" x14ac:dyDescent="0.2">
      <c r="A28" t="s">
        <v>12</v>
      </c>
      <c r="B28" t="s">
        <v>13</v>
      </c>
      <c r="C28" t="s">
        <v>14</v>
      </c>
      <c r="D28">
        <v>1047</v>
      </c>
      <c r="E28" s="1">
        <v>44374</v>
      </c>
      <c r="F28" s="2">
        <v>456</v>
      </c>
      <c r="G28" s="2">
        <v>730</v>
      </c>
      <c r="H28" s="2">
        <v>0</v>
      </c>
      <c r="I28" s="2">
        <v>8759</v>
      </c>
      <c r="J28" s="2">
        <v>1186</v>
      </c>
      <c r="K28" s="2">
        <v>205</v>
      </c>
      <c r="L28" s="2">
        <v>2358</v>
      </c>
      <c r="M28" s="2">
        <f>Tabela_dados_base[[#This Row],[Clicks pagos]]+Tabela_dados_base[[#This Row],[Clicks redes sociais]]</f>
        <v>1186</v>
      </c>
      <c r="N28" s="5">
        <f>IFERROR(Tabela_dados_base[[#This Row],[Clicks pagos]]/Tabela_dados_base[[#This Row],[Total de Clicks]],"")</f>
        <v>0</v>
      </c>
      <c r="O28" s="5">
        <f>IFERROR(Tabela_dados_base[[#This Row],[Clicks redes sociais]]/Tabela_dados_base[[#This Row],[Total de Clicks]],"")</f>
        <v>1</v>
      </c>
      <c r="P28" s="6">
        <f>Tabela_dados_base[[#This Row],[Total de Clicks]]/Tabela_dados_base[[#This Row],[Visualizações]]</f>
        <v>0.50296861747243427</v>
      </c>
      <c r="Q28" s="5">
        <f>Tabela_dados_base[[#This Row],[Vezes pesquisados]]/Tabela_dados_base[[#This Row],[Visualizações]]</f>
        <v>8.6938083121289228E-2</v>
      </c>
      <c r="R28" s="5">
        <f>Tabela_dados_base[[#This Row],[Visitas Diretas]]/Tabela_dados_base[[#This Row],[Visualizações]]</f>
        <v>0.19338422391857507</v>
      </c>
    </row>
    <row r="29" spans="1:18" x14ac:dyDescent="0.2">
      <c r="A29" t="s">
        <v>12</v>
      </c>
      <c r="B29" t="s">
        <v>13</v>
      </c>
      <c r="C29" t="s">
        <v>14</v>
      </c>
      <c r="D29">
        <v>1047</v>
      </c>
      <c r="E29" s="1">
        <v>44375</v>
      </c>
      <c r="F29" s="2">
        <v>493</v>
      </c>
      <c r="G29" s="2">
        <v>789</v>
      </c>
      <c r="H29" s="2">
        <v>0</v>
      </c>
      <c r="I29" s="2">
        <v>2801</v>
      </c>
      <c r="J29" s="2">
        <v>1282</v>
      </c>
      <c r="K29" s="2">
        <v>222</v>
      </c>
      <c r="L29" s="2">
        <v>2551</v>
      </c>
      <c r="M29" s="2">
        <f>Tabela_dados_base[[#This Row],[Clicks pagos]]+Tabela_dados_base[[#This Row],[Clicks redes sociais]]</f>
        <v>1282</v>
      </c>
      <c r="N29" s="5">
        <f>IFERROR(Tabela_dados_base[[#This Row],[Clicks pagos]]/Tabela_dados_base[[#This Row],[Total de Clicks]],"")</f>
        <v>0</v>
      </c>
      <c r="O29" s="5">
        <f>IFERROR(Tabela_dados_base[[#This Row],[Clicks redes sociais]]/Tabela_dados_base[[#This Row],[Total de Clicks]],"")</f>
        <v>1</v>
      </c>
      <c r="P29" s="6">
        <f>Tabela_dados_base[[#This Row],[Total de Clicks]]/Tabela_dados_base[[#This Row],[Visualizações]]</f>
        <v>0.50254802038416302</v>
      </c>
      <c r="Q29" s="5">
        <f>Tabela_dados_base[[#This Row],[Vezes pesquisados]]/Tabela_dados_base[[#This Row],[Visualizações]]</f>
        <v>8.7024696197569584E-2</v>
      </c>
      <c r="R29" s="5">
        <f>Tabela_dados_base[[#This Row],[Visitas Diretas]]/Tabela_dados_base[[#This Row],[Visualizações]]</f>
        <v>0.19325754606036849</v>
      </c>
    </row>
    <row r="30" spans="1:18" x14ac:dyDescent="0.2">
      <c r="A30" t="s">
        <v>12</v>
      </c>
      <c r="B30" t="s">
        <v>13</v>
      </c>
      <c r="C30" t="s">
        <v>14</v>
      </c>
      <c r="D30">
        <v>1047</v>
      </c>
      <c r="E30" s="1">
        <v>44376</v>
      </c>
      <c r="F30" s="2">
        <v>237</v>
      </c>
      <c r="G30" s="2">
        <v>379</v>
      </c>
      <c r="H30" s="2">
        <v>213</v>
      </c>
      <c r="I30" s="2">
        <v>2249</v>
      </c>
      <c r="J30" s="2">
        <v>616</v>
      </c>
      <c r="K30" s="2">
        <v>107</v>
      </c>
      <c r="L30" s="2">
        <v>1263</v>
      </c>
      <c r="M30" s="2">
        <f>Tabela_dados_base[[#This Row],[Clicks pagos]]+Tabela_dados_base[[#This Row],[Clicks redes sociais]]</f>
        <v>829</v>
      </c>
      <c r="N30" s="5">
        <f>IFERROR(Tabela_dados_base[[#This Row],[Clicks pagos]]/Tabela_dados_base[[#This Row],[Total de Clicks]],"")</f>
        <v>0.25693606755126658</v>
      </c>
      <c r="O30" s="5">
        <f>IFERROR(Tabela_dados_base[[#This Row],[Clicks redes sociais]]/Tabela_dados_base[[#This Row],[Total de Clicks]],"")</f>
        <v>0.74306393244873337</v>
      </c>
      <c r="P30" s="6">
        <f>Tabela_dados_base[[#This Row],[Total de Clicks]]/Tabela_dados_base[[#This Row],[Visualizações]]</f>
        <v>0.65637371338083927</v>
      </c>
      <c r="Q30" s="5">
        <f>Tabela_dados_base[[#This Row],[Vezes pesquisados]]/Tabela_dados_base[[#This Row],[Visualizações]]</f>
        <v>8.471892319873317E-2</v>
      </c>
      <c r="R30" s="5">
        <f>Tabela_dados_base[[#This Row],[Visitas Diretas]]/Tabela_dados_base[[#This Row],[Visualizações]]</f>
        <v>0.18764845605700711</v>
      </c>
    </row>
    <row r="31" spans="1:18" x14ac:dyDescent="0.2">
      <c r="A31" t="s">
        <v>12</v>
      </c>
      <c r="B31" t="s">
        <v>13</v>
      </c>
      <c r="C31" t="s">
        <v>14</v>
      </c>
      <c r="D31">
        <v>1047</v>
      </c>
      <c r="E31" s="1">
        <v>44377</v>
      </c>
      <c r="F31" s="2">
        <v>58</v>
      </c>
      <c r="G31" s="2">
        <v>92</v>
      </c>
      <c r="H31" s="2">
        <v>0</v>
      </c>
      <c r="I31" s="2">
        <v>387</v>
      </c>
      <c r="J31" s="2">
        <v>150</v>
      </c>
      <c r="K31" s="2">
        <v>26</v>
      </c>
      <c r="L31" s="2">
        <v>366</v>
      </c>
      <c r="M31" s="2">
        <f>Tabela_dados_base[[#This Row],[Clicks pagos]]+Tabela_dados_base[[#This Row],[Clicks redes sociais]]</f>
        <v>150</v>
      </c>
      <c r="N31" s="5">
        <f>IFERROR(Tabela_dados_base[[#This Row],[Clicks pagos]]/Tabela_dados_base[[#This Row],[Total de Clicks]],"")</f>
        <v>0</v>
      </c>
      <c r="O31" s="5">
        <f>IFERROR(Tabela_dados_base[[#This Row],[Clicks redes sociais]]/Tabela_dados_base[[#This Row],[Total de Clicks]],"")</f>
        <v>1</v>
      </c>
      <c r="P31" s="6">
        <f>Tabela_dados_base[[#This Row],[Total de Clicks]]/Tabela_dados_base[[#This Row],[Visualizações]]</f>
        <v>0.4098360655737705</v>
      </c>
      <c r="Q31" s="5">
        <f>Tabela_dados_base[[#This Row],[Vezes pesquisados]]/Tabela_dados_base[[#This Row],[Visualizações]]</f>
        <v>7.1038251366120214E-2</v>
      </c>
      <c r="R31" s="5">
        <f>Tabela_dados_base[[#This Row],[Visitas Diretas]]/Tabela_dados_base[[#This Row],[Visualizações]]</f>
        <v>0.15846994535519127</v>
      </c>
    </row>
    <row r="32" spans="1:18" x14ac:dyDescent="0.2">
      <c r="A32" t="s">
        <v>12</v>
      </c>
      <c r="B32" t="s">
        <v>13</v>
      </c>
      <c r="C32" t="s">
        <v>14</v>
      </c>
      <c r="D32">
        <v>1047</v>
      </c>
      <c r="E32" s="1">
        <v>44378</v>
      </c>
      <c r="F32" s="2">
        <v>200</v>
      </c>
      <c r="G32" s="2">
        <v>320</v>
      </c>
      <c r="H32" s="2">
        <v>0</v>
      </c>
      <c r="I32" s="2">
        <v>1371</v>
      </c>
      <c r="J32" s="2">
        <v>521</v>
      </c>
      <c r="K32" s="2">
        <v>90</v>
      </c>
      <c r="L32" s="2">
        <v>1021</v>
      </c>
      <c r="M32" s="2">
        <f>Tabela_dados_base[[#This Row],[Clicks pagos]]+Tabela_dados_base[[#This Row],[Clicks redes sociais]]</f>
        <v>521</v>
      </c>
      <c r="N32" s="5">
        <f>IFERROR(Tabela_dados_base[[#This Row],[Clicks pagos]]/Tabela_dados_base[[#This Row],[Total de Clicks]],"")</f>
        <v>0</v>
      </c>
      <c r="O32" s="5">
        <f>IFERROR(Tabela_dados_base[[#This Row],[Clicks redes sociais]]/Tabela_dados_base[[#This Row],[Total de Clicks]],"")</f>
        <v>1</v>
      </c>
      <c r="P32" s="6">
        <f>Tabela_dados_base[[#This Row],[Total de Clicks]]/Tabela_dados_base[[#This Row],[Visualizações]]</f>
        <v>0.51028403525954946</v>
      </c>
      <c r="Q32" s="5">
        <f>Tabela_dados_base[[#This Row],[Vezes pesquisados]]/Tabela_dados_base[[#This Row],[Visualizações]]</f>
        <v>8.8148873653281098E-2</v>
      </c>
      <c r="R32" s="5">
        <f>Tabela_dados_base[[#This Row],[Visitas Diretas]]/Tabela_dados_base[[#This Row],[Visualizações]]</f>
        <v>0.19588638589618021</v>
      </c>
    </row>
    <row r="33" spans="1:18" x14ac:dyDescent="0.2">
      <c r="A33" t="s">
        <v>12</v>
      </c>
      <c r="B33" t="s">
        <v>13</v>
      </c>
      <c r="C33" t="s">
        <v>14</v>
      </c>
      <c r="D33">
        <v>1047</v>
      </c>
      <c r="E33" s="1">
        <v>44379</v>
      </c>
      <c r="F33" s="2">
        <v>539</v>
      </c>
      <c r="G33" s="2">
        <v>862</v>
      </c>
      <c r="H33" s="2">
        <v>485</v>
      </c>
      <c r="I33" s="2">
        <v>5619</v>
      </c>
      <c r="J33" s="2">
        <v>1401</v>
      </c>
      <c r="K33" s="2">
        <v>243</v>
      </c>
      <c r="L33" s="2">
        <v>2732</v>
      </c>
      <c r="M33" s="2">
        <f>Tabela_dados_base[[#This Row],[Clicks pagos]]+Tabela_dados_base[[#This Row],[Clicks redes sociais]]</f>
        <v>1886</v>
      </c>
      <c r="N33" s="5">
        <f>IFERROR(Tabela_dados_base[[#This Row],[Clicks pagos]]/Tabela_dados_base[[#This Row],[Total de Clicks]],"")</f>
        <v>0.25715800636267233</v>
      </c>
      <c r="O33" s="5">
        <f>IFERROR(Tabela_dados_base[[#This Row],[Clicks redes sociais]]/Tabela_dados_base[[#This Row],[Total de Clicks]],"")</f>
        <v>0.74284199363732772</v>
      </c>
      <c r="P33" s="6">
        <f>Tabela_dados_base[[#This Row],[Total de Clicks]]/Tabela_dados_base[[#This Row],[Visualizações]]</f>
        <v>0.69033674963396774</v>
      </c>
      <c r="Q33" s="5">
        <f>Tabela_dados_base[[#This Row],[Vezes pesquisados]]/Tabela_dados_base[[#This Row],[Visualizações]]</f>
        <v>8.8945827232796482E-2</v>
      </c>
      <c r="R33" s="5">
        <f>Tabela_dados_base[[#This Row],[Visitas Diretas]]/Tabela_dados_base[[#This Row],[Visualizações]]</f>
        <v>0.1972913616398243</v>
      </c>
    </row>
    <row r="34" spans="1:18" x14ac:dyDescent="0.2">
      <c r="A34" t="s">
        <v>12</v>
      </c>
      <c r="B34" t="s">
        <v>13</v>
      </c>
      <c r="C34" t="s">
        <v>14</v>
      </c>
      <c r="D34">
        <v>1047</v>
      </c>
      <c r="E34" s="1">
        <v>44380</v>
      </c>
      <c r="F34" s="2">
        <v>28</v>
      </c>
      <c r="G34" s="2">
        <v>45</v>
      </c>
      <c r="H34" s="2">
        <v>0</v>
      </c>
      <c r="I34" s="2">
        <v>302</v>
      </c>
      <c r="J34" s="2">
        <v>73</v>
      </c>
      <c r="K34" s="2">
        <v>13</v>
      </c>
      <c r="L34" s="2">
        <v>196</v>
      </c>
      <c r="M34" s="2">
        <f>Tabela_dados_base[[#This Row],[Clicks pagos]]+Tabela_dados_base[[#This Row],[Clicks redes sociais]]</f>
        <v>73</v>
      </c>
      <c r="N34" s="5">
        <f>IFERROR(Tabela_dados_base[[#This Row],[Clicks pagos]]/Tabela_dados_base[[#This Row],[Total de Clicks]],"")</f>
        <v>0</v>
      </c>
      <c r="O34" s="5">
        <f>IFERROR(Tabela_dados_base[[#This Row],[Clicks redes sociais]]/Tabela_dados_base[[#This Row],[Total de Clicks]],"")</f>
        <v>1</v>
      </c>
      <c r="P34" s="6">
        <f>Tabela_dados_base[[#This Row],[Total de Clicks]]/Tabela_dados_base[[#This Row],[Visualizações]]</f>
        <v>0.37244897959183676</v>
      </c>
      <c r="Q34" s="5">
        <f>Tabela_dados_base[[#This Row],[Vezes pesquisados]]/Tabela_dados_base[[#This Row],[Visualizações]]</f>
        <v>6.6326530612244902E-2</v>
      </c>
      <c r="R34" s="5">
        <f>Tabela_dados_base[[#This Row],[Visitas Diretas]]/Tabela_dados_base[[#This Row],[Visualizações]]</f>
        <v>0.14285714285714285</v>
      </c>
    </row>
    <row r="35" spans="1:18" x14ac:dyDescent="0.2">
      <c r="A35" t="s">
        <v>12</v>
      </c>
      <c r="B35" t="s">
        <v>13</v>
      </c>
      <c r="C35" t="s">
        <v>14</v>
      </c>
      <c r="D35">
        <v>1047</v>
      </c>
      <c r="E35" s="1">
        <v>44381</v>
      </c>
      <c r="F35" s="2">
        <v>6144</v>
      </c>
      <c r="G35" s="2">
        <v>9830</v>
      </c>
      <c r="H35" s="2">
        <v>0</v>
      </c>
      <c r="I35" s="2">
        <v>77579</v>
      </c>
      <c r="J35" s="2">
        <v>15974</v>
      </c>
      <c r="K35" s="2">
        <v>2765</v>
      </c>
      <c r="L35" s="2">
        <v>30771</v>
      </c>
      <c r="M35" s="2">
        <f>Tabela_dados_base[[#This Row],[Clicks pagos]]+Tabela_dados_base[[#This Row],[Clicks redes sociais]]</f>
        <v>15974</v>
      </c>
      <c r="N35" s="5">
        <f>IFERROR(Tabela_dados_base[[#This Row],[Clicks pagos]]/Tabela_dados_base[[#This Row],[Total de Clicks]],"")</f>
        <v>0</v>
      </c>
      <c r="O35" s="5">
        <f>IFERROR(Tabela_dados_base[[#This Row],[Clicks redes sociais]]/Tabela_dados_base[[#This Row],[Total de Clicks]],"")</f>
        <v>1</v>
      </c>
      <c r="P35" s="6">
        <f>Tabela_dados_base[[#This Row],[Total de Clicks]]/Tabela_dados_base[[#This Row],[Visualizações]]</f>
        <v>0.51912515030385753</v>
      </c>
      <c r="Q35" s="5">
        <f>Tabela_dados_base[[#This Row],[Vezes pesquisados]]/Tabela_dados_base[[#This Row],[Visualizações]]</f>
        <v>8.9857333203340814E-2</v>
      </c>
      <c r="R35" s="5">
        <f>Tabela_dados_base[[#This Row],[Visitas Diretas]]/Tabela_dados_base[[#This Row],[Visualizações]]</f>
        <v>0.19966851906015404</v>
      </c>
    </row>
    <row r="36" spans="1:18" x14ac:dyDescent="0.2">
      <c r="A36" t="s">
        <v>12</v>
      </c>
      <c r="B36" t="s">
        <v>13</v>
      </c>
      <c r="C36" t="s">
        <v>14</v>
      </c>
      <c r="D36">
        <v>1047</v>
      </c>
      <c r="E36" s="1">
        <v>44382</v>
      </c>
      <c r="F36" s="2">
        <v>130</v>
      </c>
      <c r="G36" s="2">
        <v>208</v>
      </c>
      <c r="H36" s="2">
        <v>0</v>
      </c>
      <c r="I36" s="2">
        <v>2857</v>
      </c>
      <c r="J36" s="2">
        <v>338</v>
      </c>
      <c r="K36" s="2">
        <v>59</v>
      </c>
      <c r="L36" s="2">
        <v>734</v>
      </c>
      <c r="M36" s="2">
        <f>Tabela_dados_base[[#This Row],[Clicks pagos]]+Tabela_dados_base[[#This Row],[Clicks redes sociais]]</f>
        <v>338</v>
      </c>
      <c r="N36" s="5">
        <f>IFERROR(Tabela_dados_base[[#This Row],[Clicks pagos]]/Tabela_dados_base[[#This Row],[Total de Clicks]],"")</f>
        <v>0</v>
      </c>
      <c r="O36" s="5">
        <f>IFERROR(Tabela_dados_base[[#This Row],[Clicks redes sociais]]/Tabela_dados_base[[#This Row],[Total de Clicks]],"")</f>
        <v>1</v>
      </c>
      <c r="P36" s="6">
        <f>Tabela_dados_base[[#This Row],[Total de Clicks]]/Tabela_dados_base[[#This Row],[Visualizações]]</f>
        <v>0.46049046321525888</v>
      </c>
      <c r="Q36" s="5">
        <f>Tabela_dados_base[[#This Row],[Vezes pesquisados]]/Tabela_dados_base[[#This Row],[Visualizações]]</f>
        <v>8.038147138964577E-2</v>
      </c>
      <c r="R36" s="5">
        <f>Tabela_dados_base[[#This Row],[Visitas Diretas]]/Tabela_dados_base[[#This Row],[Visualizações]]</f>
        <v>0.17711171662125341</v>
      </c>
    </row>
    <row r="37" spans="1:18" x14ac:dyDescent="0.2">
      <c r="A37" t="s">
        <v>12</v>
      </c>
      <c r="B37" t="s">
        <v>13</v>
      </c>
      <c r="C37" t="s">
        <v>14</v>
      </c>
      <c r="D37">
        <v>1047</v>
      </c>
      <c r="E37" s="1">
        <v>44383</v>
      </c>
      <c r="F37" s="2">
        <v>7714</v>
      </c>
      <c r="G37" s="2">
        <v>12342</v>
      </c>
      <c r="H37" s="2">
        <v>0</v>
      </c>
      <c r="I37" s="2">
        <v>40904</v>
      </c>
      <c r="J37" s="2">
        <v>20056</v>
      </c>
      <c r="K37" s="2">
        <v>3471</v>
      </c>
      <c r="L37" s="2">
        <v>38619</v>
      </c>
      <c r="M37" s="2">
        <f>Tabela_dados_base[[#This Row],[Clicks pagos]]+Tabela_dados_base[[#This Row],[Clicks redes sociais]]</f>
        <v>20056</v>
      </c>
      <c r="N37" s="5">
        <f>IFERROR(Tabela_dados_base[[#This Row],[Clicks pagos]]/Tabela_dados_base[[#This Row],[Total de Clicks]],"")</f>
        <v>0</v>
      </c>
      <c r="O37" s="5">
        <f>IFERROR(Tabela_dados_base[[#This Row],[Clicks redes sociais]]/Tabela_dados_base[[#This Row],[Total de Clicks]],"")</f>
        <v>1</v>
      </c>
      <c r="P37" s="6">
        <f>Tabela_dados_base[[#This Row],[Total de Clicks]]/Tabela_dados_base[[#This Row],[Visualizações]]</f>
        <v>0.51932986353867272</v>
      </c>
      <c r="Q37" s="5">
        <f>Tabela_dados_base[[#This Row],[Vezes pesquisados]]/Tabela_dados_base[[#This Row],[Visualizações]]</f>
        <v>8.9878039307076829E-2</v>
      </c>
      <c r="R37" s="5">
        <f>Tabela_dados_base[[#This Row],[Visitas Diretas]]/Tabela_dados_base[[#This Row],[Visualizações]]</f>
        <v>0.19974623889795179</v>
      </c>
    </row>
    <row r="38" spans="1:18" x14ac:dyDescent="0.2">
      <c r="A38" t="s">
        <v>12</v>
      </c>
      <c r="B38" t="s">
        <v>13</v>
      </c>
      <c r="C38" t="s">
        <v>14</v>
      </c>
      <c r="D38">
        <v>1047</v>
      </c>
      <c r="E38" s="1">
        <v>44384</v>
      </c>
      <c r="F38" s="2">
        <v>1254</v>
      </c>
      <c r="G38" s="2">
        <v>2006</v>
      </c>
      <c r="H38" s="2">
        <v>0</v>
      </c>
      <c r="I38" s="2">
        <v>13332</v>
      </c>
      <c r="J38" s="2">
        <v>3260</v>
      </c>
      <c r="K38" s="2">
        <v>564</v>
      </c>
      <c r="L38" s="2">
        <v>6359</v>
      </c>
      <c r="M38" s="2">
        <f>Tabela_dados_base[[#This Row],[Clicks pagos]]+Tabela_dados_base[[#This Row],[Clicks redes sociais]]</f>
        <v>3260</v>
      </c>
      <c r="N38" s="5">
        <f>IFERROR(Tabela_dados_base[[#This Row],[Clicks pagos]]/Tabela_dados_base[[#This Row],[Total de Clicks]],"")</f>
        <v>0</v>
      </c>
      <c r="O38" s="5">
        <f>IFERROR(Tabela_dados_base[[#This Row],[Clicks redes sociais]]/Tabela_dados_base[[#This Row],[Total de Clicks]],"")</f>
        <v>1</v>
      </c>
      <c r="P38" s="6">
        <f>Tabela_dados_base[[#This Row],[Total de Clicks]]/Tabela_dados_base[[#This Row],[Visualizações]]</f>
        <v>0.51265922314829371</v>
      </c>
      <c r="Q38" s="5">
        <f>Tabela_dados_base[[#This Row],[Vezes pesquisados]]/Tabela_dados_base[[#This Row],[Visualizações]]</f>
        <v>8.8693190753263096E-2</v>
      </c>
      <c r="R38" s="5">
        <f>Tabela_dados_base[[#This Row],[Visitas Diretas]]/Tabela_dados_base[[#This Row],[Visualizações]]</f>
        <v>0.19720081773863815</v>
      </c>
    </row>
    <row r="39" spans="1:18" x14ac:dyDescent="0.2">
      <c r="A39" t="s">
        <v>12</v>
      </c>
      <c r="B39" t="s">
        <v>13</v>
      </c>
      <c r="C39" t="s">
        <v>14</v>
      </c>
      <c r="D39">
        <v>1047</v>
      </c>
      <c r="E39" s="1">
        <v>44385</v>
      </c>
      <c r="F39" s="2">
        <v>75</v>
      </c>
      <c r="G39" s="2">
        <v>120</v>
      </c>
      <c r="H39" s="2">
        <v>0</v>
      </c>
      <c r="I39" s="2">
        <v>1353</v>
      </c>
      <c r="J39" s="2">
        <v>196</v>
      </c>
      <c r="K39" s="2">
        <v>34</v>
      </c>
      <c r="L39" s="2">
        <v>385</v>
      </c>
      <c r="M39" s="2">
        <f>Tabela_dados_base[[#This Row],[Clicks pagos]]+Tabela_dados_base[[#This Row],[Clicks redes sociais]]</f>
        <v>196</v>
      </c>
      <c r="N39" s="5">
        <f>IFERROR(Tabela_dados_base[[#This Row],[Clicks pagos]]/Tabela_dados_base[[#This Row],[Total de Clicks]],"")</f>
        <v>0</v>
      </c>
      <c r="O39" s="5">
        <f>IFERROR(Tabela_dados_base[[#This Row],[Clicks redes sociais]]/Tabela_dados_base[[#This Row],[Total de Clicks]],"")</f>
        <v>1</v>
      </c>
      <c r="P39" s="6">
        <f>Tabela_dados_base[[#This Row],[Total de Clicks]]/Tabela_dados_base[[#This Row],[Visualizações]]</f>
        <v>0.50909090909090904</v>
      </c>
      <c r="Q39" s="5">
        <f>Tabela_dados_base[[#This Row],[Vezes pesquisados]]/Tabela_dados_base[[#This Row],[Visualizações]]</f>
        <v>8.8311688311688313E-2</v>
      </c>
      <c r="R39" s="5">
        <f>Tabela_dados_base[[#This Row],[Visitas Diretas]]/Tabela_dados_base[[#This Row],[Visualizações]]</f>
        <v>0.19480519480519481</v>
      </c>
    </row>
    <row r="40" spans="1:18" x14ac:dyDescent="0.2">
      <c r="A40" t="s">
        <v>12</v>
      </c>
      <c r="B40" t="s">
        <v>13</v>
      </c>
      <c r="C40" t="s">
        <v>14</v>
      </c>
      <c r="D40">
        <v>1047</v>
      </c>
      <c r="E40" s="1">
        <v>44386</v>
      </c>
      <c r="F40" s="2">
        <v>151</v>
      </c>
      <c r="G40" s="2">
        <v>242</v>
      </c>
      <c r="H40" s="2">
        <v>0</v>
      </c>
      <c r="I40" s="2">
        <v>1567</v>
      </c>
      <c r="J40" s="2">
        <v>393</v>
      </c>
      <c r="K40" s="2">
        <v>68</v>
      </c>
      <c r="L40" s="2">
        <v>789</v>
      </c>
      <c r="M40" s="2">
        <f>Tabela_dados_base[[#This Row],[Clicks pagos]]+Tabela_dados_base[[#This Row],[Clicks redes sociais]]</f>
        <v>393</v>
      </c>
      <c r="N40" s="5">
        <f>IFERROR(Tabela_dados_base[[#This Row],[Clicks pagos]]/Tabela_dados_base[[#This Row],[Total de Clicks]],"")</f>
        <v>0</v>
      </c>
      <c r="O40" s="5">
        <f>IFERROR(Tabela_dados_base[[#This Row],[Clicks redes sociais]]/Tabela_dados_base[[#This Row],[Total de Clicks]],"")</f>
        <v>1</v>
      </c>
      <c r="P40" s="6">
        <f>Tabela_dados_base[[#This Row],[Total de Clicks]]/Tabela_dados_base[[#This Row],[Visualizações]]</f>
        <v>0.49809885931558934</v>
      </c>
      <c r="Q40" s="5">
        <f>Tabela_dados_base[[#This Row],[Vezes pesquisados]]/Tabela_dados_base[[#This Row],[Visualizações]]</f>
        <v>8.6185044359949309E-2</v>
      </c>
      <c r="R40" s="5">
        <f>Tabela_dados_base[[#This Row],[Visitas Diretas]]/Tabela_dados_base[[#This Row],[Visualizações]]</f>
        <v>0.19138149556400508</v>
      </c>
    </row>
    <row r="41" spans="1:18" x14ac:dyDescent="0.2">
      <c r="A41" t="s">
        <v>12</v>
      </c>
      <c r="B41" t="s">
        <v>13</v>
      </c>
      <c r="C41" t="s">
        <v>14</v>
      </c>
      <c r="D41">
        <v>1047</v>
      </c>
      <c r="E41" s="1">
        <v>44387</v>
      </c>
      <c r="F41" s="2">
        <v>973</v>
      </c>
      <c r="G41" s="2">
        <v>1556</v>
      </c>
      <c r="H41" s="2">
        <v>0</v>
      </c>
      <c r="I41" s="2">
        <v>5337</v>
      </c>
      <c r="J41" s="2">
        <v>2529</v>
      </c>
      <c r="K41" s="2">
        <v>438</v>
      </c>
      <c r="L41" s="2">
        <v>4897</v>
      </c>
      <c r="M41" s="2">
        <f>Tabela_dados_base[[#This Row],[Clicks pagos]]+Tabela_dados_base[[#This Row],[Clicks redes sociais]]</f>
        <v>2529</v>
      </c>
      <c r="N41" s="5">
        <f>IFERROR(Tabela_dados_base[[#This Row],[Clicks pagos]]/Tabela_dados_base[[#This Row],[Total de Clicks]],"")</f>
        <v>0</v>
      </c>
      <c r="O41" s="5">
        <f>IFERROR(Tabela_dados_base[[#This Row],[Clicks redes sociais]]/Tabela_dados_base[[#This Row],[Total de Clicks]],"")</f>
        <v>1</v>
      </c>
      <c r="P41" s="6">
        <f>Tabela_dados_base[[#This Row],[Total de Clicks]]/Tabela_dados_base[[#This Row],[Visualizações]]</f>
        <v>0.51643863589953032</v>
      </c>
      <c r="Q41" s="5">
        <f>Tabela_dados_base[[#This Row],[Vezes pesquisados]]/Tabela_dados_base[[#This Row],[Visualizações]]</f>
        <v>8.9442515826015923E-2</v>
      </c>
      <c r="R41" s="5">
        <f>Tabela_dados_base[[#This Row],[Visitas Diretas]]/Tabela_dados_base[[#This Row],[Visualizações]]</f>
        <v>0.19869307739432304</v>
      </c>
    </row>
    <row r="42" spans="1:18" x14ac:dyDescent="0.2">
      <c r="A42" t="s">
        <v>12</v>
      </c>
      <c r="B42" t="s">
        <v>13</v>
      </c>
      <c r="C42" t="s">
        <v>14</v>
      </c>
      <c r="D42">
        <v>1047</v>
      </c>
      <c r="E42" s="1">
        <v>44388</v>
      </c>
      <c r="F42" s="2">
        <v>52</v>
      </c>
      <c r="G42" s="2">
        <v>84</v>
      </c>
      <c r="H42" s="2">
        <v>0</v>
      </c>
      <c r="I42" s="2">
        <v>577</v>
      </c>
      <c r="J42" s="2">
        <v>136</v>
      </c>
      <c r="K42" s="2">
        <v>23</v>
      </c>
      <c r="L42" s="2">
        <v>324</v>
      </c>
      <c r="M42" s="2">
        <f>Tabela_dados_base[[#This Row],[Clicks pagos]]+Tabela_dados_base[[#This Row],[Clicks redes sociais]]</f>
        <v>136</v>
      </c>
      <c r="N42" s="5">
        <f>IFERROR(Tabela_dados_base[[#This Row],[Clicks pagos]]/Tabela_dados_base[[#This Row],[Total de Clicks]],"")</f>
        <v>0</v>
      </c>
      <c r="O42" s="5">
        <f>IFERROR(Tabela_dados_base[[#This Row],[Clicks redes sociais]]/Tabela_dados_base[[#This Row],[Total de Clicks]],"")</f>
        <v>1</v>
      </c>
      <c r="P42" s="6">
        <f>Tabela_dados_base[[#This Row],[Total de Clicks]]/Tabela_dados_base[[#This Row],[Visualizações]]</f>
        <v>0.41975308641975306</v>
      </c>
      <c r="Q42" s="5">
        <f>Tabela_dados_base[[#This Row],[Vezes pesquisados]]/Tabela_dados_base[[#This Row],[Visualizações]]</f>
        <v>7.098765432098765E-2</v>
      </c>
      <c r="R42" s="5">
        <f>Tabela_dados_base[[#This Row],[Visitas Diretas]]/Tabela_dados_base[[#This Row],[Visualizações]]</f>
        <v>0.16049382716049382</v>
      </c>
    </row>
    <row r="43" spans="1:18" x14ac:dyDescent="0.2">
      <c r="A43" t="s">
        <v>12</v>
      </c>
      <c r="B43" t="s">
        <v>13</v>
      </c>
      <c r="C43" t="s">
        <v>14</v>
      </c>
      <c r="D43">
        <v>1047</v>
      </c>
      <c r="E43" s="1">
        <v>44389</v>
      </c>
      <c r="F43" s="2">
        <v>461</v>
      </c>
      <c r="G43" s="2">
        <v>737</v>
      </c>
      <c r="H43" s="2">
        <v>0</v>
      </c>
      <c r="I43" s="2">
        <v>6105</v>
      </c>
      <c r="J43" s="2">
        <v>1198</v>
      </c>
      <c r="K43" s="2">
        <v>207</v>
      </c>
      <c r="L43" s="2">
        <v>2383</v>
      </c>
      <c r="M43" s="2">
        <f>Tabela_dados_base[[#This Row],[Clicks pagos]]+Tabela_dados_base[[#This Row],[Clicks redes sociais]]</f>
        <v>1198</v>
      </c>
      <c r="N43" s="5">
        <f>IFERROR(Tabela_dados_base[[#This Row],[Clicks pagos]]/Tabela_dados_base[[#This Row],[Total de Clicks]],"")</f>
        <v>0</v>
      </c>
      <c r="O43" s="5">
        <f>IFERROR(Tabela_dados_base[[#This Row],[Clicks redes sociais]]/Tabela_dados_base[[#This Row],[Total de Clicks]],"")</f>
        <v>1</v>
      </c>
      <c r="P43" s="6">
        <f>Tabela_dados_base[[#This Row],[Total de Clicks]]/Tabela_dados_base[[#This Row],[Visualizações]]</f>
        <v>0.50272765421737309</v>
      </c>
      <c r="Q43" s="5">
        <f>Tabela_dados_base[[#This Row],[Vezes pesquisados]]/Tabela_dados_base[[#This Row],[Visualizações]]</f>
        <v>8.6865295845572801E-2</v>
      </c>
      <c r="R43" s="5">
        <f>Tabela_dados_base[[#This Row],[Visitas Diretas]]/Tabela_dados_base[[#This Row],[Visualizações]]</f>
        <v>0.19345362987830467</v>
      </c>
    </row>
    <row r="44" spans="1:18" x14ac:dyDescent="0.2">
      <c r="A44" t="s">
        <v>12</v>
      </c>
      <c r="B44" t="s">
        <v>13</v>
      </c>
      <c r="C44" t="s">
        <v>14</v>
      </c>
      <c r="D44">
        <v>1047</v>
      </c>
      <c r="E44" s="1">
        <v>44390</v>
      </c>
      <c r="F44" s="2">
        <v>1346</v>
      </c>
      <c r="G44" s="2">
        <v>2154</v>
      </c>
      <c r="H44" s="2">
        <v>0</v>
      </c>
      <c r="I44" s="2">
        <v>21441</v>
      </c>
      <c r="J44" s="2">
        <v>3501</v>
      </c>
      <c r="K44" s="2">
        <v>606</v>
      </c>
      <c r="L44" s="2">
        <v>6819</v>
      </c>
      <c r="M44" s="2">
        <f>Tabela_dados_base[[#This Row],[Clicks pagos]]+Tabela_dados_base[[#This Row],[Clicks redes sociais]]</f>
        <v>3501</v>
      </c>
      <c r="N44" s="5">
        <f>IFERROR(Tabela_dados_base[[#This Row],[Clicks pagos]]/Tabela_dados_base[[#This Row],[Total de Clicks]],"")</f>
        <v>0</v>
      </c>
      <c r="O44" s="5">
        <f>IFERROR(Tabela_dados_base[[#This Row],[Clicks redes sociais]]/Tabela_dados_base[[#This Row],[Total de Clicks]],"")</f>
        <v>1</v>
      </c>
      <c r="P44" s="6">
        <f>Tabela_dados_base[[#This Row],[Total de Clicks]]/Tabela_dados_base[[#This Row],[Visualizações]]</f>
        <v>0.51341838979322485</v>
      </c>
      <c r="Q44" s="5">
        <f>Tabela_dados_base[[#This Row],[Vezes pesquisados]]/Tabela_dados_base[[#This Row],[Visualizações]]</f>
        <v>8.8869335679718428E-2</v>
      </c>
      <c r="R44" s="5">
        <f>Tabela_dados_base[[#This Row],[Visitas Diretas]]/Tabela_dados_base[[#This Row],[Visualizações]]</f>
        <v>0.19738964657574423</v>
      </c>
    </row>
    <row r="45" spans="1:18" x14ac:dyDescent="0.2">
      <c r="A45" t="s">
        <v>12</v>
      </c>
      <c r="B45" t="s">
        <v>13</v>
      </c>
      <c r="C45" t="s">
        <v>14</v>
      </c>
      <c r="D45">
        <v>1047</v>
      </c>
      <c r="E45" s="1">
        <v>44391</v>
      </c>
      <c r="F45" s="2">
        <v>302</v>
      </c>
      <c r="G45" s="2">
        <v>484</v>
      </c>
      <c r="H45" s="2">
        <v>0</v>
      </c>
      <c r="I45" s="2">
        <v>3236</v>
      </c>
      <c r="J45" s="2">
        <v>786</v>
      </c>
      <c r="K45" s="2">
        <v>136</v>
      </c>
      <c r="L45" s="2">
        <v>1574</v>
      </c>
      <c r="M45" s="2">
        <f>Tabela_dados_base[[#This Row],[Clicks pagos]]+Tabela_dados_base[[#This Row],[Clicks redes sociais]]</f>
        <v>786</v>
      </c>
      <c r="N45" s="5">
        <f>IFERROR(Tabela_dados_base[[#This Row],[Clicks pagos]]/Tabela_dados_base[[#This Row],[Total de Clicks]],"")</f>
        <v>0</v>
      </c>
      <c r="O45" s="5">
        <f>IFERROR(Tabela_dados_base[[#This Row],[Clicks redes sociais]]/Tabela_dados_base[[#This Row],[Total de Clicks]],"")</f>
        <v>1</v>
      </c>
      <c r="P45" s="6">
        <f>Tabela_dados_base[[#This Row],[Total de Clicks]]/Tabela_dados_base[[#This Row],[Visualizações]]</f>
        <v>0.4993646759847522</v>
      </c>
      <c r="Q45" s="5">
        <f>Tabela_dados_base[[#This Row],[Vezes pesquisados]]/Tabela_dados_base[[#This Row],[Visualizações]]</f>
        <v>8.6404066073697591E-2</v>
      </c>
      <c r="R45" s="5">
        <f>Tabela_dados_base[[#This Row],[Visitas Diretas]]/Tabela_dados_base[[#This Row],[Visualizações]]</f>
        <v>0.19186785260482847</v>
      </c>
    </row>
    <row r="46" spans="1:18" x14ac:dyDescent="0.2">
      <c r="A46" t="s">
        <v>12</v>
      </c>
      <c r="B46" t="s">
        <v>13</v>
      </c>
      <c r="C46" t="s">
        <v>14</v>
      </c>
      <c r="D46">
        <v>1047</v>
      </c>
      <c r="E46" s="1">
        <v>44392</v>
      </c>
      <c r="F46" s="2">
        <v>2381</v>
      </c>
      <c r="G46" s="2">
        <v>3810</v>
      </c>
      <c r="H46" s="2">
        <v>0</v>
      </c>
      <c r="I46" s="2">
        <v>38829</v>
      </c>
      <c r="J46" s="2">
        <v>6192</v>
      </c>
      <c r="K46" s="2">
        <v>1072</v>
      </c>
      <c r="L46" s="2">
        <v>11974</v>
      </c>
      <c r="M46" s="2">
        <f>Tabela_dados_base[[#This Row],[Clicks pagos]]+Tabela_dados_base[[#This Row],[Clicks redes sociais]]</f>
        <v>6192</v>
      </c>
      <c r="N46" s="5">
        <f>IFERROR(Tabela_dados_base[[#This Row],[Clicks pagos]]/Tabela_dados_base[[#This Row],[Total de Clicks]],"")</f>
        <v>0</v>
      </c>
      <c r="O46" s="5">
        <f>IFERROR(Tabela_dados_base[[#This Row],[Clicks redes sociais]]/Tabela_dados_base[[#This Row],[Total de Clicks]],"")</f>
        <v>1</v>
      </c>
      <c r="P46" s="6">
        <f>Tabela_dados_base[[#This Row],[Total de Clicks]]/Tabela_dados_base[[#This Row],[Visualizações]]</f>
        <v>0.51712042759311838</v>
      </c>
      <c r="Q46" s="5">
        <f>Tabela_dados_base[[#This Row],[Vezes pesquisados]]/Tabela_dados_base[[#This Row],[Visualizações]]</f>
        <v>8.952730916986805E-2</v>
      </c>
      <c r="R46" s="5">
        <f>Tabela_dados_base[[#This Row],[Visitas Diretas]]/Tabela_dados_base[[#This Row],[Visualizações]]</f>
        <v>0.19884750292299982</v>
      </c>
    </row>
    <row r="47" spans="1:18" x14ac:dyDescent="0.2">
      <c r="A47" t="s">
        <v>12</v>
      </c>
      <c r="B47" t="s">
        <v>13</v>
      </c>
      <c r="C47" t="s">
        <v>14</v>
      </c>
      <c r="D47">
        <v>1047</v>
      </c>
      <c r="E47" s="1">
        <v>44393</v>
      </c>
      <c r="F47" s="2">
        <v>519</v>
      </c>
      <c r="G47" s="2">
        <v>831</v>
      </c>
      <c r="H47" s="2">
        <v>0</v>
      </c>
      <c r="I47" s="2">
        <v>4453</v>
      </c>
      <c r="J47" s="2">
        <v>1350</v>
      </c>
      <c r="K47" s="2">
        <v>234</v>
      </c>
      <c r="L47" s="2">
        <v>2629</v>
      </c>
      <c r="M47" s="2">
        <f>Tabela_dados_base[[#This Row],[Clicks pagos]]+Tabela_dados_base[[#This Row],[Clicks redes sociais]]</f>
        <v>1350</v>
      </c>
      <c r="N47" s="5">
        <f>IFERROR(Tabela_dados_base[[#This Row],[Clicks pagos]]/Tabela_dados_base[[#This Row],[Total de Clicks]],"")</f>
        <v>0</v>
      </c>
      <c r="O47" s="5">
        <f>IFERROR(Tabela_dados_base[[#This Row],[Clicks redes sociais]]/Tabela_dados_base[[#This Row],[Total de Clicks]],"")</f>
        <v>1</v>
      </c>
      <c r="P47" s="6">
        <f>Tabela_dados_base[[#This Row],[Total de Clicks]]/Tabela_dados_base[[#This Row],[Visualizações]]</f>
        <v>0.5135032331685051</v>
      </c>
      <c r="Q47" s="5">
        <f>Tabela_dados_base[[#This Row],[Vezes pesquisados]]/Tabela_dados_base[[#This Row],[Visualizações]]</f>
        <v>8.9007227082540885E-2</v>
      </c>
      <c r="R47" s="5">
        <f>Tabela_dados_base[[#This Row],[Visitas Diretas]]/Tabela_dados_base[[#This Row],[Visualizações]]</f>
        <v>0.19741346519589198</v>
      </c>
    </row>
    <row r="48" spans="1:18" x14ac:dyDescent="0.2">
      <c r="A48" t="s">
        <v>12</v>
      </c>
      <c r="B48" t="s">
        <v>13</v>
      </c>
      <c r="C48" t="s">
        <v>14</v>
      </c>
      <c r="D48">
        <v>1047</v>
      </c>
      <c r="E48" s="1">
        <v>44394</v>
      </c>
      <c r="F48" s="2">
        <v>1360</v>
      </c>
      <c r="G48" s="2">
        <v>2175</v>
      </c>
      <c r="H48" s="2">
        <v>0</v>
      </c>
      <c r="I48" s="2">
        <v>25163</v>
      </c>
      <c r="J48" s="2">
        <v>3535</v>
      </c>
      <c r="K48" s="2">
        <v>612</v>
      </c>
      <c r="L48" s="2">
        <v>6867</v>
      </c>
      <c r="M48" s="2">
        <f>Tabela_dados_base[[#This Row],[Clicks pagos]]+Tabela_dados_base[[#This Row],[Clicks redes sociais]]</f>
        <v>3535</v>
      </c>
      <c r="N48" s="5">
        <f>IFERROR(Tabela_dados_base[[#This Row],[Clicks pagos]]/Tabela_dados_base[[#This Row],[Total de Clicks]],"")</f>
        <v>0</v>
      </c>
      <c r="O48" s="5">
        <f>IFERROR(Tabela_dados_base[[#This Row],[Clicks redes sociais]]/Tabela_dados_base[[#This Row],[Total de Clicks]],"")</f>
        <v>1</v>
      </c>
      <c r="P48" s="6">
        <f>Tabela_dados_base[[#This Row],[Total de Clicks]]/Tabela_dados_base[[#This Row],[Visualizações]]</f>
        <v>0.51478083588175327</v>
      </c>
      <c r="Q48" s="5">
        <f>Tabela_dados_base[[#This Row],[Vezes pesquisados]]/Tabela_dados_base[[#This Row],[Visualizações]]</f>
        <v>8.9121887287024901E-2</v>
      </c>
      <c r="R48" s="5">
        <f>Tabela_dados_base[[#This Row],[Visitas Diretas]]/Tabela_dados_base[[#This Row],[Visualizações]]</f>
        <v>0.19804863841561091</v>
      </c>
    </row>
    <row r="49" spans="1:18" x14ac:dyDescent="0.2">
      <c r="A49" t="s">
        <v>12</v>
      </c>
      <c r="B49" t="s">
        <v>13</v>
      </c>
      <c r="C49" t="s">
        <v>14</v>
      </c>
      <c r="D49">
        <v>1047</v>
      </c>
      <c r="E49" s="1">
        <v>44395</v>
      </c>
      <c r="F49" s="2">
        <v>1247</v>
      </c>
      <c r="G49" s="2">
        <v>1996</v>
      </c>
      <c r="H49" s="2">
        <v>0</v>
      </c>
      <c r="I49" s="2">
        <v>7505</v>
      </c>
      <c r="J49" s="2">
        <v>3243</v>
      </c>
      <c r="K49" s="2">
        <v>561</v>
      </c>
      <c r="L49" s="2">
        <v>6247</v>
      </c>
      <c r="M49" s="2">
        <f>Tabela_dados_base[[#This Row],[Clicks pagos]]+Tabela_dados_base[[#This Row],[Clicks redes sociais]]</f>
        <v>3243</v>
      </c>
      <c r="N49" s="5">
        <f>IFERROR(Tabela_dados_base[[#This Row],[Clicks pagos]]/Tabela_dados_base[[#This Row],[Total de Clicks]],"")</f>
        <v>0</v>
      </c>
      <c r="O49" s="5">
        <f>IFERROR(Tabela_dados_base[[#This Row],[Clicks redes sociais]]/Tabela_dados_base[[#This Row],[Total de Clicks]],"")</f>
        <v>1</v>
      </c>
      <c r="P49" s="6">
        <f>Tabela_dados_base[[#This Row],[Total de Clicks]]/Tabela_dados_base[[#This Row],[Visualizações]]</f>
        <v>0.51912918200736358</v>
      </c>
      <c r="Q49" s="5">
        <f>Tabela_dados_base[[#This Row],[Vezes pesquisados]]/Tabela_dados_base[[#This Row],[Visualizações]]</f>
        <v>8.9803105490635499E-2</v>
      </c>
      <c r="R49" s="5">
        <f>Tabela_dados_base[[#This Row],[Visitas Diretas]]/Tabela_dados_base[[#This Row],[Visualizações]]</f>
        <v>0.19961581559148392</v>
      </c>
    </row>
    <row r="50" spans="1:18" x14ac:dyDescent="0.2">
      <c r="A50" t="s">
        <v>12</v>
      </c>
      <c r="B50" t="s">
        <v>13</v>
      </c>
      <c r="C50" t="s">
        <v>14</v>
      </c>
      <c r="D50">
        <v>1047</v>
      </c>
      <c r="E50" s="1">
        <v>44396</v>
      </c>
      <c r="F50" s="2">
        <v>1477</v>
      </c>
      <c r="G50" s="2">
        <v>2364</v>
      </c>
      <c r="H50" s="2">
        <v>0</v>
      </c>
      <c r="I50" s="2">
        <v>19864</v>
      </c>
      <c r="J50" s="2">
        <v>3841</v>
      </c>
      <c r="K50" s="2">
        <v>665</v>
      </c>
      <c r="L50" s="2">
        <v>7419</v>
      </c>
      <c r="M50" s="2">
        <f>Tabela_dados_base[[#This Row],[Clicks pagos]]+Tabela_dados_base[[#This Row],[Clicks redes sociais]]</f>
        <v>3841</v>
      </c>
      <c r="N50" s="5">
        <f>IFERROR(Tabela_dados_base[[#This Row],[Clicks pagos]]/Tabela_dados_base[[#This Row],[Total de Clicks]],"")</f>
        <v>0</v>
      </c>
      <c r="O50" s="5">
        <f>IFERROR(Tabela_dados_base[[#This Row],[Clicks redes sociais]]/Tabela_dados_base[[#This Row],[Total de Clicks]],"")</f>
        <v>1</v>
      </c>
      <c r="P50" s="6">
        <f>Tabela_dados_base[[#This Row],[Total de Clicks]]/Tabela_dados_base[[#This Row],[Visualizações]]</f>
        <v>0.51772476074942719</v>
      </c>
      <c r="Q50" s="5">
        <f>Tabela_dados_base[[#This Row],[Vezes pesquisados]]/Tabela_dados_base[[#This Row],[Visualizações]]</f>
        <v>8.9634721660601158E-2</v>
      </c>
      <c r="R50" s="5">
        <f>Tabela_dados_base[[#This Row],[Visitas Diretas]]/Tabela_dados_base[[#This Row],[Visualizações]]</f>
        <v>0.19908343442512469</v>
      </c>
    </row>
    <row r="51" spans="1:18" x14ac:dyDescent="0.2">
      <c r="A51" t="s">
        <v>12</v>
      </c>
      <c r="B51" t="s">
        <v>13</v>
      </c>
      <c r="C51" t="s">
        <v>14</v>
      </c>
      <c r="D51">
        <v>1047</v>
      </c>
      <c r="E51" s="1">
        <v>44397</v>
      </c>
      <c r="F51" s="2">
        <v>82</v>
      </c>
      <c r="G51" s="2">
        <v>131</v>
      </c>
      <c r="H51" s="2">
        <v>0</v>
      </c>
      <c r="I51" s="2">
        <v>736</v>
      </c>
      <c r="J51" s="2">
        <v>212</v>
      </c>
      <c r="K51" s="2">
        <v>37</v>
      </c>
      <c r="L51" s="2">
        <v>437</v>
      </c>
      <c r="M51" s="2">
        <f>Tabela_dados_base[[#This Row],[Clicks pagos]]+Tabela_dados_base[[#This Row],[Clicks redes sociais]]</f>
        <v>212</v>
      </c>
      <c r="N51" s="5">
        <f>IFERROR(Tabela_dados_base[[#This Row],[Clicks pagos]]/Tabela_dados_base[[#This Row],[Total de Clicks]],"")</f>
        <v>0</v>
      </c>
      <c r="O51" s="5">
        <f>IFERROR(Tabela_dados_base[[#This Row],[Clicks redes sociais]]/Tabela_dados_base[[#This Row],[Total de Clicks]],"")</f>
        <v>1</v>
      </c>
      <c r="P51" s="6">
        <f>Tabela_dados_base[[#This Row],[Total de Clicks]]/Tabela_dados_base[[#This Row],[Visualizações]]</f>
        <v>0.48512585812356979</v>
      </c>
      <c r="Q51" s="5">
        <f>Tabela_dados_base[[#This Row],[Vezes pesquisados]]/Tabela_dados_base[[#This Row],[Visualizações]]</f>
        <v>8.4668192219679639E-2</v>
      </c>
      <c r="R51" s="5">
        <f>Tabela_dados_base[[#This Row],[Visitas Diretas]]/Tabela_dados_base[[#This Row],[Visualizações]]</f>
        <v>0.18764302059496568</v>
      </c>
    </row>
    <row r="52" spans="1:18" x14ac:dyDescent="0.2">
      <c r="A52" t="s">
        <v>12</v>
      </c>
      <c r="B52" t="s">
        <v>13</v>
      </c>
      <c r="C52" t="s">
        <v>14</v>
      </c>
      <c r="D52">
        <v>1047</v>
      </c>
      <c r="E52" s="1">
        <v>44398</v>
      </c>
      <c r="F52" s="2">
        <v>247</v>
      </c>
      <c r="G52" s="2">
        <v>395</v>
      </c>
      <c r="H52" s="2">
        <v>0</v>
      </c>
      <c r="I52" s="2">
        <v>4189</v>
      </c>
      <c r="J52" s="2">
        <v>642</v>
      </c>
      <c r="K52" s="2">
        <v>111</v>
      </c>
      <c r="L52" s="2">
        <v>1246</v>
      </c>
      <c r="M52" s="2">
        <f>Tabela_dados_base[[#This Row],[Clicks pagos]]+Tabela_dados_base[[#This Row],[Clicks redes sociais]]</f>
        <v>642</v>
      </c>
      <c r="N52" s="5">
        <f>IFERROR(Tabela_dados_base[[#This Row],[Clicks pagos]]/Tabela_dados_base[[#This Row],[Total de Clicks]],"")</f>
        <v>0</v>
      </c>
      <c r="O52" s="5">
        <f>IFERROR(Tabela_dados_base[[#This Row],[Clicks redes sociais]]/Tabela_dados_base[[#This Row],[Total de Clicks]],"")</f>
        <v>1</v>
      </c>
      <c r="P52" s="6">
        <f>Tabela_dados_base[[#This Row],[Total de Clicks]]/Tabela_dados_base[[#This Row],[Visualizações]]</f>
        <v>0.51524879614767261</v>
      </c>
      <c r="Q52" s="5">
        <f>Tabela_dados_base[[#This Row],[Vezes pesquisados]]/Tabela_dados_base[[#This Row],[Visualizações]]</f>
        <v>8.908507223113965E-2</v>
      </c>
      <c r="R52" s="5">
        <f>Tabela_dados_base[[#This Row],[Visitas Diretas]]/Tabela_dados_base[[#This Row],[Visualizações]]</f>
        <v>0.19823434991974317</v>
      </c>
    </row>
    <row r="53" spans="1:18" x14ac:dyDescent="0.2">
      <c r="A53" t="s">
        <v>12</v>
      </c>
      <c r="B53" t="s">
        <v>13</v>
      </c>
      <c r="C53" t="s">
        <v>14</v>
      </c>
      <c r="D53">
        <v>1047</v>
      </c>
      <c r="E53" s="1">
        <v>44399</v>
      </c>
      <c r="F53" s="2">
        <v>1601</v>
      </c>
      <c r="G53" s="2">
        <v>2561</v>
      </c>
      <c r="H53" s="2">
        <v>0</v>
      </c>
      <c r="I53" s="2">
        <v>16491</v>
      </c>
      <c r="J53" s="2">
        <v>4162</v>
      </c>
      <c r="K53" s="2">
        <v>720</v>
      </c>
      <c r="L53" s="2">
        <v>8013</v>
      </c>
      <c r="M53" s="2">
        <f>Tabela_dados_base[[#This Row],[Clicks pagos]]+Tabela_dados_base[[#This Row],[Clicks redes sociais]]</f>
        <v>4162</v>
      </c>
      <c r="N53" s="5">
        <f>IFERROR(Tabela_dados_base[[#This Row],[Clicks pagos]]/Tabela_dados_base[[#This Row],[Total de Clicks]],"")</f>
        <v>0</v>
      </c>
      <c r="O53" s="5">
        <f>IFERROR(Tabela_dados_base[[#This Row],[Clicks redes sociais]]/Tabela_dados_base[[#This Row],[Total de Clicks]],"")</f>
        <v>1</v>
      </c>
      <c r="P53" s="6">
        <f>Tabela_dados_base[[#This Row],[Total de Clicks]]/Tabela_dados_base[[#This Row],[Visualizações]]</f>
        <v>0.51940596530637717</v>
      </c>
      <c r="Q53" s="5">
        <f>Tabela_dados_base[[#This Row],[Vezes pesquisados]]/Tabela_dados_base[[#This Row],[Visualizações]]</f>
        <v>8.9853987270685137E-2</v>
      </c>
      <c r="R53" s="5">
        <f>Tabela_dados_base[[#This Row],[Visitas Diretas]]/Tabela_dados_base[[#This Row],[Visualizações]]</f>
        <v>0.1998003244727318</v>
      </c>
    </row>
    <row r="54" spans="1:18" x14ac:dyDescent="0.2">
      <c r="A54" t="s">
        <v>12</v>
      </c>
      <c r="B54" t="s">
        <v>13</v>
      </c>
      <c r="C54" t="s">
        <v>14</v>
      </c>
      <c r="D54">
        <v>1047</v>
      </c>
      <c r="E54" s="1">
        <v>44400</v>
      </c>
      <c r="F54" s="2">
        <v>46</v>
      </c>
      <c r="G54" s="2">
        <v>74</v>
      </c>
      <c r="H54" s="2">
        <v>0</v>
      </c>
      <c r="I54" s="2">
        <v>426</v>
      </c>
      <c r="J54" s="2">
        <v>120</v>
      </c>
      <c r="K54" s="2">
        <v>21</v>
      </c>
      <c r="L54" s="2">
        <v>238</v>
      </c>
      <c r="M54" s="2">
        <f>Tabela_dados_base[[#This Row],[Clicks pagos]]+Tabela_dados_base[[#This Row],[Clicks redes sociais]]</f>
        <v>120</v>
      </c>
      <c r="N54" s="5">
        <f>IFERROR(Tabela_dados_base[[#This Row],[Clicks pagos]]/Tabela_dados_base[[#This Row],[Total de Clicks]],"")</f>
        <v>0</v>
      </c>
      <c r="O54" s="5">
        <f>IFERROR(Tabela_dados_base[[#This Row],[Clicks redes sociais]]/Tabela_dados_base[[#This Row],[Total de Clicks]],"")</f>
        <v>1</v>
      </c>
      <c r="P54" s="6">
        <f>Tabela_dados_base[[#This Row],[Total de Clicks]]/Tabela_dados_base[[#This Row],[Visualizações]]</f>
        <v>0.50420168067226889</v>
      </c>
      <c r="Q54" s="5">
        <f>Tabela_dados_base[[#This Row],[Vezes pesquisados]]/Tabela_dados_base[[#This Row],[Visualizações]]</f>
        <v>8.8235294117647065E-2</v>
      </c>
      <c r="R54" s="5">
        <f>Tabela_dados_base[[#This Row],[Visitas Diretas]]/Tabela_dados_base[[#This Row],[Visualizações]]</f>
        <v>0.19327731092436976</v>
      </c>
    </row>
    <row r="55" spans="1:18" x14ac:dyDescent="0.2">
      <c r="A55" t="s">
        <v>12</v>
      </c>
      <c r="B55" t="s">
        <v>13</v>
      </c>
      <c r="C55" t="s">
        <v>14</v>
      </c>
      <c r="D55">
        <v>1047</v>
      </c>
      <c r="E55" s="1">
        <v>44401</v>
      </c>
      <c r="F55" s="2">
        <v>918</v>
      </c>
      <c r="G55" s="2">
        <v>1469</v>
      </c>
      <c r="H55" s="2">
        <v>0</v>
      </c>
      <c r="I55" s="2">
        <v>4714</v>
      </c>
      <c r="J55" s="2">
        <v>2388</v>
      </c>
      <c r="K55" s="2">
        <v>413</v>
      </c>
      <c r="L55" s="2">
        <v>4619</v>
      </c>
      <c r="M55" s="2">
        <f>Tabela_dados_base[[#This Row],[Clicks pagos]]+Tabela_dados_base[[#This Row],[Clicks redes sociais]]</f>
        <v>2388</v>
      </c>
      <c r="N55" s="5">
        <f>IFERROR(Tabela_dados_base[[#This Row],[Clicks pagos]]/Tabela_dados_base[[#This Row],[Total de Clicks]],"")</f>
        <v>0</v>
      </c>
      <c r="O55" s="5">
        <f>IFERROR(Tabela_dados_base[[#This Row],[Clicks redes sociais]]/Tabela_dados_base[[#This Row],[Total de Clicks]],"")</f>
        <v>1</v>
      </c>
      <c r="P55" s="6">
        <f>Tabela_dados_base[[#This Row],[Total de Clicks]]/Tabela_dados_base[[#This Row],[Visualizações]]</f>
        <v>0.51699502056722235</v>
      </c>
      <c r="Q55" s="5">
        <f>Tabela_dados_base[[#This Row],[Vezes pesquisados]]/Tabela_dados_base[[#This Row],[Visualizações]]</f>
        <v>8.9413292920545576E-2</v>
      </c>
      <c r="R55" s="5">
        <f>Tabela_dados_base[[#This Row],[Visitas Diretas]]/Tabela_dados_base[[#This Row],[Visualizações]]</f>
        <v>0.19874431695172115</v>
      </c>
    </row>
    <row r="56" spans="1:18" x14ac:dyDescent="0.2">
      <c r="A56" t="s">
        <v>12</v>
      </c>
      <c r="B56" t="s">
        <v>13</v>
      </c>
      <c r="C56" t="s">
        <v>14</v>
      </c>
      <c r="D56">
        <v>1047</v>
      </c>
      <c r="E56" s="1">
        <v>44402</v>
      </c>
      <c r="F56" s="2">
        <v>1924</v>
      </c>
      <c r="G56" s="2">
        <v>3078</v>
      </c>
      <c r="H56" s="2">
        <v>0</v>
      </c>
      <c r="I56" s="2">
        <v>14157</v>
      </c>
      <c r="J56" s="2">
        <v>5002</v>
      </c>
      <c r="K56" s="2">
        <v>866</v>
      </c>
      <c r="L56" s="2">
        <v>9690</v>
      </c>
      <c r="M56" s="2">
        <f>Tabela_dados_base[[#This Row],[Clicks pagos]]+Tabela_dados_base[[#This Row],[Clicks redes sociais]]</f>
        <v>5002</v>
      </c>
      <c r="N56" s="5">
        <f>IFERROR(Tabela_dados_base[[#This Row],[Clicks pagos]]/Tabela_dados_base[[#This Row],[Total de Clicks]],"")</f>
        <v>0</v>
      </c>
      <c r="O56" s="5">
        <f>IFERROR(Tabela_dados_base[[#This Row],[Clicks redes sociais]]/Tabela_dados_base[[#This Row],[Total de Clicks]],"")</f>
        <v>1</v>
      </c>
      <c r="P56" s="6">
        <f>Tabela_dados_base[[#This Row],[Total de Clicks]]/Tabela_dados_base[[#This Row],[Visualizações]]</f>
        <v>0.51620227038183697</v>
      </c>
      <c r="Q56" s="5">
        <f>Tabela_dados_base[[#This Row],[Vezes pesquisados]]/Tabela_dados_base[[#This Row],[Visualizações]]</f>
        <v>8.9370485036119718E-2</v>
      </c>
      <c r="R56" s="5">
        <f>Tabela_dados_base[[#This Row],[Visitas Diretas]]/Tabela_dados_base[[#This Row],[Visualizações]]</f>
        <v>0.19855521155830752</v>
      </c>
    </row>
    <row r="57" spans="1:18" x14ac:dyDescent="0.2">
      <c r="A57" t="s">
        <v>12</v>
      </c>
      <c r="B57" t="s">
        <v>13</v>
      </c>
      <c r="C57" t="s">
        <v>14</v>
      </c>
      <c r="D57">
        <v>1047</v>
      </c>
      <c r="E57" s="1">
        <v>44403</v>
      </c>
      <c r="F57" s="2">
        <v>218</v>
      </c>
      <c r="G57" s="2">
        <v>348</v>
      </c>
      <c r="H57" s="2">
        <v>0</v>
      </c>
      <c r="I57" s="2">
        <v>3128</v>
      </c>
      <c r="J57" s="2">
        <v>566</v>
      </c>
      <c r="K57" s="2">
        <v>98</v>
      </c>
      <c r="L57" s="2">
        <v>1138</v>
      </c>
      <c r="M57" s="2">
        <f>Tabela_dados_base[[#This Row],[Clicks pagos]]+Tabela_dados_base[[#This Row],[Clicks redes sociais]]</f>
        <v>566</v>
      </c>
      <c r="N57" s="5">
        <f>IFERROR(Tabela_dados_base[[#This Row],[Clicks pagos]]/Tabela_dados_base[[#This Row],[Total de Clicks]],"")</f>
        <v>0</v>
      </c>
      <c r="O57" s="5">
        <f>IFERROR(Tabela_dados_base[[#This Row],[Clicks redes sociais]]/Tabela_dados_base[[#This Row],[Total de Clicks]],"")</f>
        <v>1</v>
      </c>
      <c r="P57" s="6">
        <f>Tabela_dados_base[[#This Row],[Total de Clicks]]/Tabela_dados_base[[#This Row],[Visualizações]]</f>
        <v>0.49736379613356768</v>
      </c>
      <c r="Q57" s="5">
        <f>Tabela_dados_base[[#This Row],[Vezes pesquisados]]/Tabela_dados_base[[#This Row],[Visualizações]]</f>
        <v>8.6115992970123026E-2</v>
      </c>
      <c r="R57" s="5">
        <f>Tabela_dados_base[[#This Row],[Visitas Diretas]]/Tabela_dados_base[[#This Row],[Visualizações]]</f>
        <v>0.19156414762741653</v>
      </c>
    </row>
    <row r="58" spans="1:18" x14ac:dyDescent="0.2">
      <c r="A58" t="s">
        <v>12</v>
      </c>
      <c r="B58" t="s">
        <v>13</v>
      </c>
      <c r="C58" t="s">
        <v>14</v>
      </c>
      <c r="D58">
        <v>1047</v>
      </c>
      <c r="E58" s="1">
        <v>44404</v>
      </c>
      <c r="F58" s="2">
        <v>1450</v>
      </c>
      <c r="G58" s="2">
        <v>2321</v>
      </c>
      <c r="H58" s="2">
        <v>0</v>
      </c>
      <c r="I58" s="2">
        <v>18544</v>
      </c>
      <c r="J58" s="2">
        <v>3771</v>
      </c>
      <c r="K58" s="2">
        <v>653</v>
      </c>
      <c r="L58" s="2">
        <v>7297</v>
      </c>
      <c r="M58" s="2">
        <f>Tabela_dados_base[[#This Row],[Clicks pagos]]+Tabela_dados_base[[#This Row],[Clicks redes sociais]]</f>
        <v>3771</v>
      </c>
      <c r="N58" s="5">
        <f>IFERROR(Tabela_dados_base[[#This Row],[Clicks pagos]]/Tabela_dados_base[[#This Row],[Total de Clicks]],"")</f>
        <v>0</v>
      </c>
      <c r="O58" s="5">
        <f>IFERROR(Tabela_dados_base[[#This Row],[Clicks redes sociais]]/Tabela_dados_base[[#This Row],[Total de Clicks]],"")</f>
        <v>1</v>
      </c>
      <c r="P58" s="6">
        <f>Tabela_dados_base[[#This Row],[Total de Clicks]]/Tabela_dados_base[[#This Row],[Visualizações]]</f>
        <v>0.51678772098122516</v>
      </c>
      <c r="Q58" s="5">
        <f>Tabela_dados_base[[#This Row],[Vezes pesquisados]]/Tabela_dados_base[[#This Row],[Visualizações]]</f>
        <v>8.9488831026449223E-2</v>
      </c>
      <c r="R58" s="5">
        <f>Tabela_dados_base[[#This Row],[Visitas Diretas]]/Tabela_dados_base[[#This Row],[Visualizações]]</f>
        <v>0.19871179936960395</v>
      </c>
    </row>
    <row r="59" spans="1:18" x14ac:dyDescent="0.2">
      <c r="A59" t="s">
        <v>12</v>
      </c>
      <c r="B59" t="s">
        <v>13</v>
      </c>
      <c r="C59" t="s">
        <v>14</v>
      </c>
      <c r="D59">
        <v>1047</v>
      </c>
      <c r="E59" s="1">
        <v>44405</v>
      </c>
      <c r="F59" s="2">
        <v>464</v>
      </c>
      <c r="G59" s="2">
        <v>742</v>
      </c>
      <c r="H59" s="2">
        <v>0</v>
      </c>
      <c r="I59" s="2">
        <v>4782</v>
      </c>
      <c r="J59" s="2">
        <v>1206</v>
      </c>
      <c r="K59" s="2">
        <v>209</v>
      </c>
      <c r="L59" s="2">
        <v>2371</v>
      </c>
      <c r="M59" s="2">
        <f>Tabela_dados_base[[#This Row],[Clicks pagos]]+Tabela_dados_base[[#This Row],[Clicks redes sociais]]</f>
        <v>1206</v>
      </c>
      <c r="N59" s="5">
        <f>IFERROR(Tabela_dados_base[[#This Row],[Clicks pagos]]/Tabela_dados_base[[#This Row],[Total de Clicks]],"")</f>
        <v>0</v>
      </c>
      <c r="O59" s="5">
        <f>IFERROR(Tabela_dados_base[[#This Row],[Clicks redes sociais]]/Tabela_dados_base[[#This Row],[Total de Clicks]],"")</f>
        <v>1</v>
      </c>
      <c r="P59" s="6">
        <f>Tabela_dados_base[[#This Row],[Total de Clicks]]/Tabela_dados_base[[#This Row],[Visualizações]]</f>
        <v>0.50864614086883175</v>
      </c>
      <c r="Q59" s="5">
        <f>Tabela_dados_base[[#This Row],[Vezes pesquisados]]/Tabela_dados_base[[#This Row],[Visualizações]]</f>
        <v>8.8148460565162373E-2</v>
      </c>
      <c r="R59" s="5">
        <f>Tabela_dados_base[[#This Row],[Visitas Diretas]]/Tabela_dados_base[[#This Row],[Visualizações]]</f>
        <v>0.19569801771404471</v>
      </c>
    </row>
    <row r="60" spans="1:18" x14ac:dyDescent="0.2">
      <c r="A60" t="s">
        <v>12</v>
      </c>
      <c r="B60" t="s">
        <v>13</v>
      </c>
      <c r="C60" t="s">
        <v>14</v>
      </c>
      <c r="D60">
        <v>1047</v>
      </c>
      <c r="E60" s="1">
        <v>44406</v>
      </c>
      <c r="F60" s="2">
        <v>730</v>
      </c>
      <c r="G60" s="2">
        <v>1167</v>
      </c>
      <c r="H60" s="2">
        <v>0</v>
      </c>
      <c r="I60" s="2">
        <v>14655</v>
      </c>
      <c r="J60" s="2">
        <v>1897</v>
      </c>
      <c r="K60" s="2">
        <v>328</v>
      </c>
      <c r="L60" s="2">
        <v>3702</v>
      </c>
      <c r="M60" s="2">
        <f>Tabela_dados_base[[#This Row],[Clicks pagos]]+Tabela_dados_base[[#This Row],[Clicks redes sociais]]</f>
        <v>1897</v>
      </c>
      <c r="N60" s="5">
        <f>IFERROR(Tabela_dados_base[[#This Row],[Clicks pagos]]/Tabela_dados_base[[#This Row],[Total de Clicks]],"")</f>
        <v>0</v>
      </c>
      <c r="O60" s="5">
        <f>IFERROR(Tabela_dados_base[[#This Row],[Clicks redes sociais]]/Tabela_dados_base[[#This Row],[Total de Clicks]],"")</f>
        <v>1</v>
      </c>
      <c r="P60" s="6">
        <f>Tabela_dados_base[[#This Row],[Total de Clicks]]/Tabela_dados_base[[#This Row],[Visualizações]]</f>
        <v>0.51242571582928143</v>
      </c>
      <c r="Q60" s="5">
        <f>Tabela_dados_base[[#This Row],[Vezes pesquisados]]/Tabela_dados_base[[#This Row],[Visualizações]]</f>
        <v>8.8600756347920043E-2</v>
      </c>
      <c r="R60" s="5">
        <f>Tabela_dados_base[[#This Row],[Visitas Diretas]]/Tabela_dados_base[[#This Row],[Visualizações]]</f>
        <v>0.19719070772555375</v>
      </c>
    </row>
    <row r="61" spans="1:18" x14ac:dyDescent="0.2">
      <c r="A61" t="s">
        <v>12</v>
      </c>
      <c r="B61" t="s">
        <v>13</v>
      </c>
      <c r="C61" t="s">
        <v>14</v>
      </c>
      <c r="D61">
        <v>1047</v>
      </c>
      <c r="E61" s="1">
        <v>44407</v>
      </c>
      <c r="F61" s="2">
        <v>6270</v>
      </c>
      <c r="G61" s="2">
        <v>10032</v>
      </c>
      <c r="H61" s="2">
        <v>0</v>
      </c>
      <c r="I61" s="2">
        <v>33789</v>
      </c>
      <c r="J61" s="2">
        <v>16302</v>
      </c>
      <c r="K61" s="2">
        <v>2822</v>
      </c>
      <c r="L61" s="2">
        <v>31399</v>
      </c>
      <c r="M61" s="2">
        <f>Tabela_dados_base[[#This Row],[Clicks pagos]]+Tabela_dados_base[[#This Row],[Clicks redes sociais]]</f>
        <v>16302</v>
      </c>
      <c r="N61" s="5">
        <f>IFERROR(Tabela_dados_base[[#This Row],[Clicks pagos]]/Tabela_dados_base[[#This Row],[Total de Clicks]],"")</f>
        <v>0</v>
      </c>
      <c r="O61" s="5">
        <f>IFERROR(Tabela_dados_base[[#This Row],[Clicks redes sociais]]/Tabela_dados_base[[#This Row],[Total de Clicks]],"")</f>
        <v>1</v>
      </c>
      <c r="P61" s="6">
        <f>Tabela_dados_base[[#This Row],[Total de Clicks]]/Tabela_dados_base[[#This Row],[Visualizações]]</f>
        <v>0.51918850918819071</v>
      </c>
      <c r="Q61" s="5">
        <f>Tabela_dados_base[[#This Row],[Vezes pesquisados]]/Tabela_dados_base[[#This Row],[Visualizações]]</f>
        <v>8.9875473741201944E-2</v>
      </c>
      <c r="R61" s="5">
        <f>Tabela_dados_base[[#This Row],[Visitas Diretas]]/Tabela_dados_base[[#This Row],[Visualizações]]</f>
        <v>0.1996878881493041</v>
      </c>
    </row>
    <row r="62" spans="1:18" x14ac:dyDescent="0.2">
      <c r="A62" t="s">
        <v>12</v>
      </c>
      <c r="B62" t="s">
        <v>13</v>
      </c>
      <c r="C62" t="s">
        <v>14</v>
      </c>
      <c r="D62">
        <v>1047</v>
      </c>
      <c r="E62" s="1">
        <v>44408</v>
      </c>
      <c r="F62" s="2">
        <v>885</v>
      </c>
      <c r="G62" s="2">
        <v>1416</v>
      </c>
      <c r="H62" s="2">
        <v>0</v>
      </c>
      <c r="I62" s="2">
        <v>15080</v>
      </c>
      <c r="J62" s="2">
        <v>2300</v>
      </c>
      <c r="K62" s="2">
        <v>398</v>
      </c>
      <c r="L62" s="2">
        <v>4474</v>
      </c>
      <c r="M62" s="2">
        <f>Tabela_dados_base[[#This Row],[Clicks pagos]]+Tabela_dados_base[[#This Row],[Clicks redes sociais]]</f>
        <v>2300</v>
      </c>
      <c r="N62" s="5">
        <f>IFERROR(Tabela_dados_base[[#This Row],[Clicks pagos]]/Tabela_dados_base[[#This Row],[Total de Clicks]],"")</f>
        <v>0</v>
      </c>
      <c r="O62" s="5">
        <f>IFERROR(Tabela_dados_base[[#This Row],[Clicks redes sociais]]/Tabela_dados_base[[#This Row],[Total de Clicks]],"")</f>
        <v>1</v>
      </c>
      <c r="P62" s="6">
        <f>Tabela_dados_base[[#This Row],[Total de Clicks]]/Tabela_dados_base[[#This Row],[Visualizações]]</f>
        <v>0.51408135896289675</v>
      </c>
      <c r="Q62" s="5">
        <f>Tabela_dados_base[[#This Row],[Vezes pesquisados]]/Tabela_dados_base[[#This Row],[Visualizações]]</f>
        <v>8.8958426464014306E-2</v>
      </c>
      <c r="R62" s="5">
        <f>Tabela_dados_base[[#This Row],[Visitas Diretas]]/Tabela_dados_base[[#This Row],[Visualizações]]</f>
        <v>0.19780956638354941</v>
      </c>
    </row>
    <row r="63" spans="1:18" x14ac:dyDescent="0.2">
      <c r="A63" t="s">
        <v>12</v>
      </c>
      <c r="B63" t="s">
        <v>13</v>
      </c>
      <c r="C63" t="s">
        <v>14</v>
      </c>
      <c r="D63">
        <v>1047</v>
      </c>
      <c r="E63" s="1">
        <v>44409</v>
      </c>
      <c r="F63" s="2">
        <v>940</v>
      </c>
      <c r="G63" s="2">
        <v>1504</v>
      </c>
      <c r="H63" s="2">
        <v>0</v>
      </c>
      <c r="I63" s="2">
        <v>11999</v>
      </c>
      <c r="J63" s="2">
        <v>2444</v>
      </c>
      <c r="K63" s="2">
        <v>423</v>
      </c>
      <c r="L63" s="2">
        <v>4791</v>
      </c>
      <c r="M63" s="2">
        <f>Tabela_dados_base[[#This Row],[Clicks pagos]]+Tabela_dados_base[[#This Row],[Clicks redes sociais]]</f>
        <v>2444</v>
      </c>
      <c r="N63" s="5">
        <f>IFERROR(Tabela_dados_base[[#This Row],[Clicks pagos]]/Tabela_dados_base[[#This Row],[Total de Clicks]],"")</f>
        <v>0</v>
      </c>
      <c r="O63" s="5">
        <f>IFERROR(Tabela_dados_base[[#This Row],[Clicks redes sociais]]/Tabela_dados_base[[#This Row],[Total de Clicks]],"")</f>
        <v>1</v>
      </c>
      <c r="P63" s="6">
        <f>Tabela_dados_base[[#This Row],[Total de Clicks]]/Tabela_dados_base[[#This Row],[Visualizações]]</f>
        <v>0.5101231475683573</v>
      </c>
      <c r="Q63" s="5">
        <f>Tabela_dados_base[[#This Row],[Vezes pesquisados]]/Tabela_dados_base[[#This Row],[Visualizações]]</f>
        <v>8.8290544771446461E-2</v>
      </c>
      <c r="R63" s="5">
        <f>Tabela_dados_base[[#This Row],[Visitas Diretas]]/Tabela_dados_base[[#This Row],[Visualizações]]</f>
        <v>0.19620121060321435</v>
      </c>
    </row>
    <row r="64" spans="1:18" x14ac:dyDescent="0.2">
      <c r="A64" t="s">
        <v>12</v>
      </c>
      <c r="B64" t="s">
        <v>13</v>
      </c>
      <c r="C64" t="s">
        <v>14</v>
      </c>
      <c r="D64">
        <v>1047</v>
      </c>
      <c r="E64" s="1">
        <v>44410</v>
      </c>
      <c r="F64" s="2">
        <v>242</v>
      </c>
      <c r="G64" s="2">
        <v>387</v>
      </c>
      <c r="H64" s="2">
        <v>0</v>
      </c>
      <c r="I64" s="2">
        <v>2526</v>
      </c>
      <c r="J64" s="2">
        <v>629</v>
      </c>
      <c r="K64" s="2">
        <v>109</v>
      </c>
      <c r="L64" s="2">
        <v>1259</v>
      </c>
      <c r="M64" s="2">
        <f>Tabela_dados_base[[#This Row],[Clicks pagos]]+Tabela_dados_base[[#This Row],[Clicks redes sociais]]</f>
        <v>629</v>
      </c>
      <c r="N64" s="5">
        <f>IFERROR(Tabela_dados_base[[#This Row],[Clicks pagos]]/Tabela_dados_base[[#This Row],[Total de Clicks]],"")</f>
        <v>0</v>
      </c>
      <c r="O64" s="5">
        <f>IFERROR(Tabela_dados_base[[#This Row],[Clicks redes sociais]]/Tabela_dados_base[[#This Row],[Total de Clicks]],"")</f>
        <v>1</v>
      </c>
      <c r="P64" s="6">
        <f>Tabela_dados_base[[#This Row],[Total de Clicks]]/Tabela_dados_base[[#This Row],[Visualizações]]</f>
        <v>0.49960285941223193</v>
      </c>
      <c r="Q64" s="5">
        <f>Tabela_dados_base[[#This Row],[Vezes pesquisados]]/Tabela_dados_base[[#This Row],[Visualizações]]</f>
        <v>8.6576648133439238E-2</v>
      </c>
      <c r="R64" s="5">
        <f>Tabela_dados_base[[#This Row],[Visitas Diretas]]/Tabela_dados_base[[#This Row],[Visualizações]]</f>
        <v>0.19221604447974583</v>
      </c>
    </row>
    <row r="65" spans="1:18" x14ac:dyDescent="0.2">
      <c r="A65" t="s">
        <v>12</v>
      </c>
      <c r="B65" t="s">
        <v>13</v>
      </c>
      <c r="C65" t="s">
        <v>14</v>
      </c>
      <c r="D65">
        <v>1047</v>
      </c>
      <c r="E65" s="1">
        <v>44411</v>
      </c>
      <c r="F65" s="2">
        <v>59</v>
      </c>
      <c r="G65" s="2">
        <v>95</v>
      </c>
      <c r="H65" s="2">
        <v>0</v>
      </c>
      <c r="I65" s="2">
        <v>925</v>
      </c>
      <c r="J65" s="2">
        <v>154</v>
      </c>
      <c r="K65" s="2">
        <v>27</v>
      </c>
      <c r="L65" s="2">
        <v>320</v>
      </c>
      <c r="M65" s="2">
        <f>Tabela_dados_base[[#This Row],[Clicks pagos]]+Tabela_dados_base[[#This Row],[Clicks redes sociais]]</f>
        <v>154</v>
      </c>
      <c r="N65" s="5">
        <f>IFERROR(Tabela_dados_base[[#This Row],[Clicks pagos]]/Tabela_dados_base[[#This Row],[Total de Clicks]],"")</f>
        <v>0</v>
      </c>
      <c r="O65" s="5">
        <f>IFERROR(Tabela_dados_base[[#This Row],[Clicks redes sociais]]/Tabela_dados_base[[#This Row],[Total de Clicks]],"")</f>
        <v>1</v>
      </c>
      <c r="P65" s="6">
        <f>Tabela_dados_base[[#This Row],[Total de Clicks]]/Tabela_dados_base[[#This Row],[Visualizações]]</f>
        <v>0.48125000000000001</v>
      </c>
      <c r="Q65" s="5">
        <f>Tabela_dados_base[[#This Row],[Vezes pesquisados]]/Tabela_dados_base[[#This Row],[Visualizações]]</f>
        <v>8.4375000000000006E-2</v>
      </c>
      <c r="R65" s="5">
        <f>Tabela_dados_base[[#This Row],[Visitas Diretas]]/Tabela_dados_base[[#This Row],[Visualizações]]</f>
        <v>0.18437500000000001</v>
      </c>
    </row>
    <row r="66" spans="1:18" x14ac:dyDescent="0.2">
      <c r="A66" t="s">
        <v>12</v>
      </c>
      <c r="B66" t="s">
        <v>13</v>
      </c>
      <c r="C66" t="s">
        <v>14</v>
      </c>
      <c r="D66">
        <v>1047</v>
      </c>
      <c r="E66" s="1">
        <v>44412</v>
      </c>
      <c r="F66" s="2">
        <v>2739</v>
      </c>
      <c r="G66" s="2">
        <v>4382</v>
      </c>
      <c r="H66" s="2">
        <v>0</v>
      </c>
      <c r="I66" s="2">
        <v>54636</v>
      </c>
      <c r="J66" s="2">
        <v>7121</v>
      </c>
      <c r="K66" s="2">
        <v>1233</v>
      </c>
      <c r="L66" s="2">
        <v>13793</v>
      </c>
      <c r="M66" s="2">
        <f>Tabela_dados_base[[#This Row],[Clicks pagos]]+Tabela_dados_base[[#This Row],[Clicks redes sociais]]</f>
        <v>7121</v>
      </c>
      <c r="N66" s="5">
        <f>IFERROR(Tabela_dados_base[[#This Row],[Clicks pagos]]/Tabela_dados_base[[#This Row],[Total de Clicks]],"")</f>
        <v>0</v>
      </c>
      <c r="O66" s="5">
        <f>IFERROR(Tabela_dados_base[[#This Row],[Clicks redes sociais]]/Tabela_dados_base[[#This Row],[Total de Clicks]],"")</f>
        <v>1</v>
      </c>
      <c r="P66" s="6">
        <f>Tabela_dados_base[[#This Row],[Total de Clicks]]/Tabela_dados_base[[#This Row],[Visualizações]]</f>
        <v>0.51627637207279053</v>
      </c>
      <c r="Q66" s="5">
        <f>Tabela_dados_base[[#This Row],[Vezes pesquisados]]/Tabela_dados_base[[#This Row],[Visualizações]]</f>
        <v>8.939317044877837E-2</v>
      </c>
      <c r="R66" s="5">
        <f>Tabela_dados_base[[#This Row],[Visitas Diretas]]/Tabela_dados_base[[#This Row],[Visualizações]]</f>
        <v>0.19857898934242008</v>
      </c>
    </row>
    <row r="67" spans="1:18" x14ac:dyDescent="0.2">
      <c r="A67" t="s">
        <v>12</v>
      </c>
      <c r="B67" t="s">
        <v>13</v>
      </c>
      <c r="C67" t="s">
        <v>14</v>
      </c>
      <c r="D67">
        <v>1047</v>
      </c>
      <c r="E67" s="1">
        <v>44413</v>
      </c>
      <c r="F67" s="2">
        <v>1228</v>
      </c>
      <c r="G67" s="2">
        <v>1964</v>
      </c>
      <c r="H67" s="2">
        <v>0</v>
      </c>
      <c r="I67" s="2">
        <v>24095</v>
      </c>
      <c r="J67" s="2">
        <v>3192</v>
      </c>
      <c r="K67" s="2">
        <v>552</v>
      </c>
      <c r="L67" s="2">
        <v>6163</v>
      </c>
      <c r="M67" s="2">
        <f>Tabela_dados_base[[#This Row],[Clicks pagos]]+Tabela_dados_base[[#This Row],[Clicks redes sociais]]</f>
        <v>3192</v>
      </c>
      <c r="N67" s="5">
        <f>IFERROR(Tabela_dados_base[[#This Row],[Clicks pagos]]/Tabela_dados_base[[#This Row],[Total de Clicks]],"")</f>
        <v>0</v>
      </c>
      <c r="O67" s="5">
        <f>IFERROR(Tabela_dados_base[[#This Row],[Clicks redes sociais]]/Tabela_dados_base[[#This Row],[Total de Clicks]],"")</f>
        <v>1</v>
      </c>
      <c r="P67" s="6">
        <f>Tabela_dados_base[[#This Row],[Total de Clicks]]/Tabela_dados_base[[#This Row],[Visualizações]]</f>
        <v>0.51792957975012166</v>
      </c>
      <c r="Q67" s="5">
        <f>Tabela_dados_base[[#This Row],[Vezes pesquisados]]/Tabela_dados_base[[#This Row],[Visualizações]]</f>
        <v>8.9566769430472176E-2</v>
      </c>
      <c r="R67" s="5">
        <f>Tabela_dados_base[[#This Row],[Visitas Diretas]]/Tabela_dados_base[[#This Row],[Visualizações]]</f>
        <v>0.19925361025474606</v>
      </c>
    </row>
    <row r="68" spans="1:18" x14ac:dyDescent="0.2">
      <c r="A68" t="s">
        <v>12</v>
      </c>
      <c r="B68" t="s">
        <v>13</v>
      </c>
      <c r="C68" t="s">
        <v>14</v>
      </c>
      <c r="D68">
        <v>1047</v>
      </c>
      <c r="E68" s="1">
        <v>44414</v>
      </c>
      <c r="F68" s="2">
        <v>84</v>
      </c>
      <c r="G68" s="2">
        <v>134</v>
      </c>
      <c r="H68" s="2">
        <v>0</v>
      </c>
      <c r="I68" s="2">
        <v>831</v>
      </c>
      <c r="J68" s="2">
        <v>218</v>
      </c>
      <c r="K68" s="2">
        <v>38</v>
      </c>
      <c r="L68" s="2">
        <v>520</v>
      </c>
      <c r="M68" s="2">
        <f>Tabela_dados_base[[#This Row],[Clicks pagos]]+Tabela_dados_base[[#This Row],[Clicks redes sociais]]</f>
        <v>218</v>
      </c>
      <c r="N68" s="5">
        <f>IFERROR(Tabela_dados_base[[#This Row],[Clicks pagos]]/Tabela_dados_base[[#This Row],[Total de Clicks]],"")</f>
        <v>0</v>
      </c>
      <c r="O68" s="5">
        <f>IFERROR(Tabela_dados_base[[#This Row],[Clicks redes sociais]]/Tabela_dados_base[[#This Row],[Total de Clicks]],"")</f>
        <v>1</v>
      </c>
      <c r="P68" s="6">
        <f>Tabela_dados_base[[#This Row],[Total de Clicks]]/Tabela_dados_base[[#This Row],[Visualizações]]</f>
        <v>0.41923076923076924</v>
      </c>
      <c r="Q68" s="5">
        <f>Tabela_dados_base[[#This Row],[Vezes pesquisados]]/Tabela_dados_base[[#This Row],[Visualizações]]</f>
        <v>7.3076923076923081E-2</v>
      </c>
      <c r="R68" s="5">
        <f>Tabela_dados_base[[#This Row],[Visitas Diretas]]/Tabela_dados_base[[#This Row],[Visualizações]]</f>
        <v>0.16153846153846155</v>
      </c>
    </row>
    <row r="69" spans="1:18" x14ac:dyDescent="0.2">
      <c r="A69" t="s">
        <v>12</v>
      </c>
      <c r="B69" t="s">
        <v>13</v>
      </c>
      <c r="C69" t="s">
        <v>14</v>
      </c>
      <c r="D69">
        <v>1047</v>
      </c>
      <c r="E69" s="1">
        <v>44415</v>
      </c>
      <c r="F69" s="2">
        <v>1654</v>
      </c>
      <c r="G69" s="2">
        <v>2647</v>
      </c>
      <c r="H69" s="2">
        <v>0</v>
      </c>
      <c r="I69" s="2">
        <v>32801</v>
      </c>
      <c r="J69" s="2">
        <v>4301</v>
      </c>
      <c r="K69" s="2">
        <v>744</v>
      </c>
      <c r="L69" s="2">
        <v>8352</v>
      </c>
      <c r="M69" s="2">
        <f>Tabela_dados_base[[#This Row],[Clicks pagos]]+Tabela_dados_base[[#This Row],[Clicks redes sociais]]</f>
        <v>4301</v>
      </c>
      <c r="N69" s="5">
        <f>IFERROR(Tabela_dados_base[[#This Row],[Clicks pagos]]/Tabela_dados_base[[#This Row],[Total de Clicks]],"")</f>
        <v>0</v>
      </c>
      <c r="O69" s="5">
        <f>IFERROR(Tabela_dados_base[[#This Row],[Clicks redes sociais]]/Tabela_dados_base[[#This Row],[Total de Clicks]],"")</f>
        <v>1</v>
      </c>
      <c r="P69" s="6">
        <f>Tabela_dados_base[[#This Row],[Total de Clicks]]/Tabela_dados_base[[#This Row],[Visualizações]]</f>
        <v>0.51496647509578541</v>
      </c>
      <c r="Q69" s="5">
        <f>Tabela_dados_base[[#This Row],[Vezes pesquisados]]/Tabela_dados_base[[#This Row],[Visualizações]]</f>
        <v>8.9080459770114945E-2</v>
      </c>
      <c r="R69" s="5">
        <f>Tabela_dados_base[[#This Row],[Visitas Diretas]]/Tabela_dados_base[[#This Row],[Visualizações]]</f>
        <v>0.19803639846743296</v>
      </c>
    </row>
    <row r="70" spans="1:18" x14ac:dyDescent="0.2">
      <c r="A70" t="s">
        <v>12</v>
      </c>
      <c r="B70" t="s">
        <v>13</v>
      </c>
      <c r="C70" t="s">
        <v>14</v>
      </c>
      <c r="D70">
        <v>1047</v>
      </c>
      <c r="E70" s="1">
        <v>44416</v>
      </c>
      <c r="F70" s="2">
        <v>2601</v>
      </c>
      <c r="G70" s="2">
        <v>4162</v>
      </c>
      <c r="H70" s="2">
        <v>0</v>
      </c>
      <c r="I70" s="2">
        <v>52007</v>
      </c>
      <c r="J70" s="2">
        <v>6763</v>
      </c>
      <c r="K70" s="2">
        <v>1170</v>
      </c>
      <c r="L70" s="2">
        <v>13069</v>
      </c>
      <c r="M70" s="2">
        <f>Tabela_dados_base[[#This Row],[Clicks pagos]]+Tabela_dados_base[[#This Row],[Clicks redes sociais]]</f>
        <v>6763</v>
      </c>
      <c r="N70" s="5">
        <f>IFERROR(Tabela_dados_base[[#This Row],[Clicks pagos]]/Tabela_dados_base[[#This Row],[Total de Clicks]],"")</f>
        <v>0</v>
      </c>
      <c r="O70" s="5">
        <f>IFERROR(Tabela_dados_base[[#This Row],[Clicks redes sociais]]/Tabela_dados_base[[#This Row],[Total de Clicks]],"")</f>
        <v>1</v>
      </c>
      <c r="P70" s="6">
        <f>Tabela_dados_base[[#This Row],[Total de Clicks]]/Tabela_dados_base[[#This Row],[Visualizações]]</f>
        <v>0.51748412273318545</v>
      </c>
      <c r="Q70" s="5">
        <f>Tabela_dados_base[[#This Row],[Vezes pesquisados]]/Tabela_dados_base[[#This Row],[Visualizações]]</f>
        <v>8.9524829749789578E-2</v>
      </c>
      <c r="R70" s="5">
        <f>Tabela_dados_base[[#This Row],[Visitas Diretas]]/Tabela_dados_base[[#This Row],[Visualizações]]</f>
        <v>0.1990205830591476</v>
      </c>
    </row>
    <row r="71" spans="1:18" x14ac:dyDescent="0.2">
      <c r="A71" t="s">
        <v>12</v>
      </c>
      <c r="B71" t="s">
        <v>13</v>
      </c>
      <c r="C71" t="s">
        <v>14</v>
      </c>
      <c r="D71">
        <v>1047</v>
      </c>
      <c r="E71" s="1">
        <v>44417</v>
      </c>
      <c r="F71" s="2">
        <v>2839</v>
      </c>
      <c r="G71" s="2">
        <v>4543</v>
      </c>
      <c r="H71" s="2">
        <v>0</v>
      </c>
      <c r="I71" s="2">
        <v>31551</v>
      </c>
      <c r="J71" s="2">
        <v>7382</v>
      </c>
      <c r="K71" s="2">
        <v>1278</v>
      </c>
      <c r="L71" s="2">
        <v>14238</v>
      </c>
      <c r="M71" s="2">
        <f>Tabela_dados_base[[#This Row],[Clicks pagos]]+Tabela_dados_base[[#This Row],[Clicks redes sociais]]</f>
        <v>7382</v>
      </c>
      <c r="N71" s="5">
        <f>IFERROR(Tabela_dados_base[[#This Row],[Clicks pagos]]/Tabela_dados_base[[#This Row],[Total de Clicks]],"")</f>
        <v>0</v>
      </c>
      <c r="O71" s="5">
        <f>IFERROR(Tabela_dados_base[[#This Row],[Clicks redes sociais]]/Tabela_dados_base[[#This Row],[Total de Clicks]],"")</f>
        <v>1</v>
      </c>
      <c r="P71" s="6">
        <f>Tabela_dados_base[[#This Row],[Total de Clicks]]/Tabela_dados_base[[#This Row],[Visualizações]]</f>
        <v>0.51847169546284588</v>
      </c>
      <c r="Q71" s="5">
        <f>Tabela_dados_base[[#This Row],[Vezes pesquisados]]/Tabela_dados_base[[#This Row],[Visualizações]]</f>
        <v>8.9759797724399501E-2</v>
      </c>
      <c r="R71" s="5">
        <f>Tabela_dados_base[[#This Row],[Visitas Diretas]]/Tabela_dados_base[[#This Row],[Visualizações]]</f>
        <v>0.19939598258182328</v>
      </c>
    </row>
    <row r="72" spans="1:18" x14ac:dyDescent="0.2">
      <c r="A72" t="s">
        <v>12</v>
      </c>
      <c r="B72" t="s">
        <v>13</v>
      </c>
      <c r="C72" t="s">
        <v>14</v>
      </c>
      <c r="D72">
        <v>1047</v>
      </c>
      <c r="E72" s="1">
        <v>44418</v>
      </c>
      <c r="F72" s="2">
        <v>998</v>
      </c>
      <c r="G72" s="2">
        <v>1597</v>
      </c>
      <c r="H72" s="2">
        <v>0</v>
      </c>
      <c r="I72" s="2">
        <v>7035</v>
      </c>
      <c r="J72" s="2">
        <v>2596</v>
      </c>
      <c r="K72" s="2">
        <v>449</v>
      </c>
      <c r="L72" s="2">
        <v>5016</v>
      </c>
      <c r="M72" s="2">
        <f>Tabela_dados_base[[#This Row],[Clicks pagos]]+Tabela_dados_base[[#This Row],[Clicks redes sociais]]</f>
        <v>2596</v>
      </c>
      <c r="N72" s="5">
        <f>IFERROR(Tabela_dados_base[[#This Row],[Clicks pagos]]/Tabela_dados_base[[#This Row],[Total de Clicks]],"")</f>
        <v>0</v>
      </c>
      <c r="O72" s="5">
        <f>IFERROR(Tabela_dados_base[[#This Row],[Clicks redes sociais]]/Tabela_dados_base[[#This Row],[Total de Clicks]],"")</f>
        <v>1</v>
      </c>
      <c r="P72" s="6">
        <f>Tabela_dados_base[[#This Row],[Total de Clicks]]/Tabela_dados_base[[#This Row],[Visualizações]]</f>
        <v>0.51754385964912286</v>
      </c>
      <c r="Q72" s="5">
        <f>Tabela_dados_base[[#This Row],[Vezes pesquisados]]/Tabela_dados_base[[#This Row],[Visualizações]]</f>
        <v>8.9513556618819781E-2</v>
      </c>
      <c r="R72" s="5">
        <f>Tabela_dados_base[[#This Row],[Visitas Diretas]]/Tabela_dados_base[[#This Row],[Visualizações]]</f>
        <v>0.19896331738437001</v>
      </c>
    </row>
    <row r="73" spans="1:18" x14ac:dyDescent="0.2">
      <c r="A73" t="s">
        <v>12</v>
      </c>
      <c r="B73" t="s">
        <v>13</v>
      </c>
      <c r="C73" t="s">
        <v>14</v>
      </c>
      <c r="D73">
        <v>1047</v>
      </c>
      <c r="E73" s="1">
        <v>44419</v>
      </c>
      <c r="F73" s="2">
        <v>1076</v>
      </c>
      <c r="G73" s="2">
        <v>1722</v>
      </c>
      <c r="H73" s="2">
        <v>0</v>
      </c>
      <c r="I73" s="2">
        <v>8837</v>
      </c>
      <c r="J73" s="2">
        <v>2799</v>
      </c>
      <c r="K73" s="2">
        <v>484</v>
      </c>
      <c r="L73" s="2">
        <v>5392</v>
      </c>
      <c r="M73" s="2">
        <f>Tabela_dados_base[[#This Row],[Clicks pagos]]+Tabela_dados_base[[#This Row],[Clicks redes sociais]]</f>
        <v>2799</v>
      </c>
      <c r="N73" s="5">
        <f>IFERROR(Tabela_dados_base[[#This Row],[Clicks pagos]]/Tabela_dados_base[[#This Row],[Total de Clicks]],"")</f>
        <v>0</v>
      </c>
      <c r="O73" s="5">
        <f>IFERROR(Tabela_dados_base[[#This Row],[Clicks redes sociais]]/Tabela_dados_base[[#This Row],[Total de Clicks]],"")</f>
        <v>1</v>
      </c>
      <c r="P73" s="6">
        <f>Tabela_dados_base[[#This Row],[Total de Clicks]]/Tabela_dados_base[[#This Row],[Visualizações]]</f>
        <v>0.51910237388724034</v>
      </c>
      <c r="Q73" s="5">
        <f>Tabela_dados_base[[#This Row],[Vezes pesquisados]]/Tabela_dados_base[[#This Row],[Visualizações]]</f>
        <v>8.9762611275964396E-2</v>
      </c>
      <c r="R73" s="5">
        <f>Tabela_dados_base[[#This Row],[Visitas Diretas]]/Tabela_dados_base[[#This Row],[Visualizações]]</f>
        <v>0.19955489614243324</v>
      </c>
    </row>
    <row r="74" spans="1:18" x14ac:dyDescent="0.2">
      <c r="A74" t="s">
        <v>12</v>
      </c>
      <c r="B74" t="s">
        <v>13</v>
      </c>
      <c r="C74" t="s">
        <v>14</v>
      </c>
      <c r="D74">
        <v>1047</v>
      </c>
      <c r="E74" s="1">
        <v>44420</v>
      </c>
      <c r="F74" s="2">
        <v>304</v>
      </c>
      <c r="G74" s="2">
        <v>486</v>
      </c>
      <c r="H74" s="2">
        <v>0</v>
      </c>
      <c r="I74" s="2">
        <v>2671</v>
      </c>
      <c r="J74" s="2">
        <v>789</v>
      </c>
      <c r="K74" s="2">
        <v>137</v>
      </c>
      <c r="L74" s="2">
        <v>1550</v>
      </c>
      <c r="M74" s="2">
        <f>Tabela_dados_base[[#This Row],[Clicks pagos]]+Tabela_dados_base[[#This Row],[Clicks redes sociais]]</f>
        <v>789</v>
      </c>
      <c r="N74" s="5">
        <f>IFERROR(Tabela_dados_base[[#This Row],[Clicks pagos]]/Tabela_dados_base[[#This Row],[Total de Clicks]],"")</f>
        <v>0</v>
      </c>
      <c r="O74" s="5">
        <f>IFERROR(Tabela_dados_base[[#This Row],[Clicks redes sociais]]/Tabela_dados_base[[#This Row],[Total de Clicks]],"")</f>
        <v>1</v>
      </c>
      <c r="P74" s="6">
        <f>Tabela_dados_base[[#This Row],[Total de Clicks]]/Tabela_dados_base[[#This Row],[Visualizações]]</f>
        <v>0.50903225806451613</v>
      </c>
      <c r="Q74" s="5">
        <f>Tabela_dados_base[[#This Row],[Vezes pesquisados]]/Tabela_dados_base[[#This Row],[Visualizações]]</f>
        <v>8.8387096774193555E-2</v>
      </c>
      <c r="R74" s="5">
        <f>Tabela_dados_base[[#This Row],[Visitas Diretas]]/Tabela_dados_base[[#This Row],[Visualizações]]</f>
        <v>0.19612903225806452</v>
      </c>
    </row>
    <row r="75" spans="1:18" x14ac:dyDescent="0.2">
      <c r="A75" t="s">
        <v>12</v>
      </c>
      <c r="B75" t="s">
        <v>13</v>
      </c>
      <c r="C75" t="s">
        <v>14</v>
      </c>
      <c r="D75">
        <v>1047</v>
      </c>
      <c r="E75" s="1">
        <v>44421</v>
      </c>
      <c r="F75" s="2">
        <v>533</v>
      </c>
      <c r="G75" s="2">
        <v>852</v>
      </c>
      <c r="H75" s="2">
        <v>0</v>
      </c>
      <c r="I75" s="2">
        <v>7069</v>
      </c>
      <c r="J75" s="2">
        <v>1385</v>
      </c>
      <c r="K75" s="2">
        <v>240</v>
      </c>
      <c r="L75" s="2">
        <v>2756</v>
      </c>
      <c r="M75" s="2">
        <f>Tabela_dados_base[[#This Row],[Clicks pagos]]+Tabela_dados_base[[#This Row],[Clicks redes sociais]]</f>
        <v>1385</v>
      </c>
      <c r="N75" s="5">
        <f>IFERROR(Tabela_dados_base[[#This Row],[Clicks pagos]]/Tabela_dados_base[[#This Row],[Total de Clicks]],"")</f>
        <v>0</v>
      </c>
      <c r="O75" s="5">
        <f>IFERROR(Tabela_dados_base[[#This Row],[Clicks redes sociais]]/Tabela_dados_base[[#This Row],[Total de Clicks]],"")</f>
        <v>1</v>
      </c>
      <c r="P75" s="6">
        <f>Tabela_dados_base[[#This Row],[Total de Clicks]]/Tabela_dados_base[[#This Row],[Visualizações]]</f>
        <v>0.5025399129172714</v>
      </c>
      <c r="Q75" s="5">
        <f>Tabela_dados_base[[#This Row],[Vezes pesquisados]]/Tabela_dados_base[[#This Row],[Visualizações]]</f>
        <v>8.7082728592162553E-2</v>
      </c>
      <c r="R75" s="5">
        <f>Tabela_dados_base[[#This Row],[Visitas Diretas]]/Tabela_dados_base[[#This Row],[Visualizações]]</f>
        <v>0.19339622641509435</v>
      </c>
    </row>
    <row r="76" spans="1:18" x14ac:dyDescent="0.2">
      <c r="A76" t="s">
        <v>12</v>
      </c>
      <c r="B76" t="s">
        <v>13</v>
      </c>
      <c r="C76" t="s">
        <v>14</v>
      </c>
      <c r="D76">
        <v>1047</v>
      </c>
      <c r="E76" s="1">
        <v>44422</v>
      </c>
      <c r="F76" s="2">
        <v>437</v>
      </c>
      <c r="G76" s="2">
        <v>699</v>
      </c>
      <c r="H76" s="2">
        <v>0</v>
      </c>
      <c r="I76" s="2">
        <v>3498</v>
      </c>
      <c r="J76" s="2">
        <v>1136</v>
      </c>
      <c r="K76" s="2">
        <v>197</v>
      </c>
      <c r="L76" s="2">
        <v>2282</v>
      </c>
      <c r="M76" s="2">
        <f>Tabela_dados_base[[#This Row],[Clicks pagos]]+Tabela_dados_base[[#This Row],[Clicks redes sociais]]</f>
        <v>1136</v>
      </c>
      <c r="N76" s="5">
        <f>IFERROR(Tabela_dados_base[[#This Row],[Clicks pagos]]/Tabela_dados_base[[#This Row],[Total de Clicks]],"")</f>
        <v>0</v>
      </c>
      <c r="O76" s="5">
        <f>IFERROR(Tabela_dados_base[[#This Row],[Clicks redes sociais]]/Tabela_dados_base[[#This Row],[Total de Clicks]],"")</f>
        <v>1</v>
      </c>
      <c r="P76" s="6">
        <f>Tabela_dados_base[[#This Row],[Total de Clicks]]/Tabela_dados_base[[#This Row],[Visualizações]]</f>
        <v>0.49780893952673094</v>
      </c>
      <c r="Q76" s="5">
        <f>Tabela_dados_base[[#This Row],[Vezes pesquisados]]/Tabela_dados_base[[#This Row],[Visualizações]]</f>
        <v>8.6327782646801049E-2</v>
      </c>
      <c r="R76" s="5">
        <f>Tabela_dados_base[[#This Row],[Visitas Diretas]]/Tabela_dados_base[[#This Row],[Visualizações]]</f>
        <v>0.19149868536371603</v>
      </c>
    </row>
    <row r="77" spans="1:18" x14ac:dyDescent="0.2">
      <c r="A77" t="s">
        <v>12</v>
      </c>
      <c r="B77" t="s">
        <v>13</v>
      </c>
      <c r="C77" t="s">
        <v>14</v>
      </c>
      <c r="D77">
        <v>1047</v>
      </c>
      <c r="E77" s="1">
        <v>44423</v>
      </c>
      <c r="F77" s="2">
        <v>2152</v>
      </c>
      <c r="G77" s="2">
        <v>3443</v>
      </c>
      <c r="H77" s="2">
        <v>0</v>
      </c>
      <c r="I77" s="2">
        <v>40344</v>
      </c>
      <c r="J77" s="2">
        <v>5594</v>
      </c>
      <c r="K77" s="2">
        <v>968</v>
      </c>
      <c r="L77" s="2">
        <v>10788</v>
      </c>
      <c r="M77" s="2">
        <f>Tabela_dados_base[[#This Row],[Clicks pagos]]+Tabela_dados_base[[#This Row],[Clicks redes sociais]]</f>
        <v>5594</v>
      </c>
      <c r="N77" s="5">
        <f>IFERROR(Tabela_dados_base[[#This Row],[Clicks pagos]]/Tabela_dados_base[[#This Row],[Total de Clicks]],"")</f>
        <v>0</v>
      </c>
      <c r="O77" s="5">
        <f>IFERROR(Tabela_dados_base[[#This Row],[Clicks redes sociais]]/Tabela_dados_base[[#This Row],[Total de Clicks]],"")</f>
        <v>1</v>
      </c>
      <c r="P77" s="6">
        <f>Tabela_dados_base[[#This Row],[Total de Clicks]]/Tabela_dados_base[[#This Row],[Visualizações]]</f>
        <v>0.51853911753800519</v>
      </c>
      <c r="Q77" s="5">
        <f>Tabela_dados_base[[#This Row],[Vezes pesquisados]]/Tabela_dados_base[[#This Row],[Visualizações]]</f>
        <v>8.9729328883945123E-2</v>
      </c>
      <c r="R77" s="5">
        <f>Tabela_dados_base[[#This Row],[Visitas Diretas]]/Tabela_dados_base[[#This Row],[Visualizações]]</f>
        <v>0.19948090470893584</v>
      </c>
    </row>
    <row r="78" spans="1:18" x14ac:dyDescent="0.2">
      <c r="A78" t="s">
        <v>12</v>
      </c>
      <c r="B78" t="s">
        <v>13</v>
      </c>
      <c r="C78" t="s">
        <v>14</v>
      </c>
      <c r="D78">
        <v>1047</v>
      </c>
      <c r="E78" s="1">
        <v>44424</v>
      </c>
      <c r="F78" s="2">
        <v>2790</v>
      </c>
      <c r="G78" s="2">
        <v>4464</v>
      </c>
      <c r="H78" s="2">
        <v>0</v>
      </c>
      <c r="I78" s="2">
        <v>53828</v>
      </c>
      <c r="J78" s="2">
        <v>7254</v>
      </c>
      <c r="K78" s="2">
        <v>1256</v>
      </c>
      <c r="L78" s="2">
        <v>14047</v>
      </c>
      <c r="M78" s="2">
        <f>Tabela_dados_base[[#This Row],[Clicks pagos]]+Tabela_dados_base[[#This Row],[Clicks redes sociais]]</f>
        <v>7254</v>
      </c>
      <c r="N78" s="5">
        <f>IFERROR(Tabela_dados_base[[#This Row],[Clicks pagos]]/Tabela_dados_base[[#This Row],[Total de Clicks]],"")</f>
        <v>0</v>
      </c>
      <c r="O78" s="5">
        <f>IFERROR(Tabela_dados_base[[#This Row],[Clicks redes sociais]]/Tabela_dados_base[[#This Row],[Total de Clicks]],"")</f>
        <v>1</v>
      </c>
      <c r="P78" s="6">
        <f>Tabela_dados_base[[#This Row],[Total de Clicks]]/Tabela_dados_base[[#This Row],[Visualizações]]</f>
        <v>0.51640919769345772</v>
      </c>
      <c r="Q78" s="5">
        <f>Tabela_dados_base[[#This Row],[Vezes pesquisados]]/Tabela_dados_base[[#This Row],[Visualizações]]</f>
        <v>8.9414109774329037E-2</v>
      </c>
      <c r="R78" s="5">
        <f>Tabela_dados_base[[#This Row],[Visitas Diretas]]/Tabela_dados_base[[#This Row],[Visualizações]]</f>
        <v>0.19861892218979141</v>
      </c>
    </row>
    <row r="79" spans="1:18" x14ac:dyDescent="0.2">
      <c r="A79" t="s">
        <v>12</v>
      </c>
      <c r="B79" t="s">
        <v>13</v>
      </c>
      <c r="C79" t="s">
        <v>14</v>
      </c>
      <c r="D79">
        <v>1047</v>
      </c>
      <c r="E79" s="1">
        <v>44425</v>
      </c>
      <c r="F79" s="2">
        <v>232</v>
      </c>
      <c r="G79" s="2">
        <v>372</v>
      </c>
      <c r="H79" s="2">
        <v>0</v>
      </c>
      <c r="I79" s="2">
        <v>2834</v>
      </c>
      <c r="J79" s="2">
        <v>604</v>
      </c>
      <c r="K79" s="2">
        <v>105</v>
      </c>
      <c r="L79" s="2">
        <v>1179</v>
      </c>
      <c r="M79" s="2">
        <f>Tabela_dados_base[[#This Row],[Clicks pagos]]+Tabela_dados_base[[#This Row],[Clicks redes sociais]]</f>
        <v>604</v>
      </c>
      <c r="N79" s="5">
        <f>IFERROR(Tabela_dados_base[[#This Row],[Clicks pagos]]/Tabela_dados_base[[#This Row],[Total de Clicks]],"")</f>
        <v>0</v>
      </c>
      <c r="O79" s="5">
        <f>IFERROR(Tabela_dados_base[[#This Row],[Clicks redes sociais]]/Tabela_dados_base[[#This Row],[Total de Clicks]],"")</f>
        <v>1</v>
      </c>
      <c r="P79" s="6">
        <f>Tabela_dados_base[[#This Row],[Total de Clicks]]/Tabela_dados_base[[#This Row],[Visualizações]]</f>
        <v>0.51229855810008484</v>
      </c>
      <c r="Q79" s="5">
        <f>Tabela_dados_base[[#This Row],[Vezes pesquisados]]/Tabela_dados_base[[#This Row],[Visualizações]]</f>
        <v>8.9058524173027995E-2</v>
      </c>
      <c r="R79" s="5">
        <f>Tabela_dados_base[[#This Row],[Visitas Diretas]]/Tabela_dados_base[[#This Row],[Visualizações]]</f>
        <v>0.19677692960135709</v>
      </c>
    </row>
    <row r="80" spans="1:18" x14ac:dyDescent="0.2">
      <c r="A80" t="s">
        <v>12</v>
      </c>
      <c r="B80" t="s">
        <v>13</v>
      </c>
      <c r="C80" t="s">
        <v>14</v>
      </c>
      <c r="D80">
        <v>1047</v>
      </c>
      <c r="E80" s="1">
        <v>44426</v>
      </c>
      <c r="F80" s="2">
        <v>3763</v>
      </c>
      <c r="G80" s="2">
        <v>6021</v>
      </c>
      <c r="H80" s="2">
        <v>0</v>
      </c>
      <c r="I80" s="2">
        <v>45771</v>
      </c>
      <c r="J80" s="2">
        <v>9784</v>
      </c>
      <c r="K80" s="2">
        <v>1693</v>
      </c>
      <c r="L80" s="2">
        <v>18854</v>
      </c>
      <c r="M80" s="2">
        <f>Tabela_dados_base[[#This Row],[Clicks pagos]]+Tabela_dados_base[[#This Row],[Clicks redes sociais]]</f>
        <v>9784</v>
      </c>
      <c r="N80" s="5">
        <f>IFERROR(Tabela_dados_base[[#This Row],[Clicks pagos]]/Tabela_dados_base[[#This Row],[Total de Clicks]],"")</f>
        <v>0</v>
      </c>
      <c r="O80" s="5">
        <f>IFERROR(Tabela_dados_base[[#This Row],[Clicks redes sociais]]/Tabela_dados_base[[#This Row],[Total de Clicks]],"")</f>
        <v>1</v>
      </c>
      <c r="P80" s="6">
        <f>Tabela_dados_base[[#This Row],[Total de Clicks]]/Tabela_dados_base[[#This Row],[Visualizações]]</f>
        <v>0.51893497401082</v>
      </c>
      <c r="Q80" s="5">
        <f>Tabela_dados_base[[#This Row],[Vezes pesquisados]]/Tabela_dados_base[[#This Row],[Visualizações]]</f>
        <v>8.9795268908454434E-2</v>
      </c>
      <c r="R80" s="5">
        <f>Tabela_dados_base[[#This Row],[Visitas Diretas]]/Tabela_dados_base[[#This Row],[Visualizações]]</f>
        <v>0.19958629468547789</v>
      </c>
    </row>
    <row r="81" spans="1:18" x14ac:dyDescent="0.2">
      <c r="A81" t="s">
        <v>12</v>
      </c>
      <c r="B81" t="s">
        <v>13</v>
      </c>
      <c r="C81" t="s">
        <v>14</v>
      </c>
      <c r="D81">
        <v>1047</v>
      </c>
      <c r="E81" s="1">
        <v>44427</v>
      </c>
      <c r="F81" s="2">
        <v>136</v>
      </c>
      <c r="G81" s="2">
        <v>218</v>
      </c>
      <c r="H81" s="2">
        <v>0</v>
      </c>
      <c r="I81" s="2">
        <v>1985</v>
      </c>
      <c r="J81" s="2">
        <v>354</v>
      </c>
      <c r="K81" s="2">
        <v>61</v>
      </c>
      <c r="L81" s="2">
        <v>739</v>
      </c>
      <c r="M81" s="2">
        <f>Tabela_dados_base[[#This Row],[Clicks pagos]]+Tabela_dados_base[[#This Row],[Clicks redes sociais]]</f>
        <v>354</v>
      </c>
      <c r="N81" s="5">
        <f>IFERROR(Tabela_dados_base[[#This Row],[Clicks pagos]]/Tabela_dados_base[[#This Row],[Total de Clicks]],"")</f>
        <v>0</v>
      </c>
      <c r="O81" s="5">
        <f>IFERROR(Tabela_dados_base[[#This Row],[Clicks redes sociais]]/Tabela_dados_base[[#This Row],[Total de Clicks]],"")</f>
        <v>1</v>
      </c>
      <c r="P81" s="6">
        <f>Tabela_dados_base[[#This Row],[Total de Clicks]]/Tabela_dados_base[[#This Row],[Visualizações]]</f>
        <v>0.47902571041948577</v>
      </c>
      <c r="Q81" s="5">
        <f>Tabela_dados_base[[#This Row],[Vezes pesquisados]]/Tabela_dados_base[[#This Row],[Visualizações]]</f>
        <v>8.2543978349120431E-2</v>
      </c>
      <c r="R81" s="5">
        <f>Tabela_dados_base[[#This Row],[Visitas Diretas]]/Tabela_dados_base[[#This Row],[Visualizações]]</f>
        <v>0.18403247631935046</v>
      </c>
    </row>
    <row r="82" spans="1:18" x14ac:dyDescent="0.2">
      <c r="A82" t="s">
        <v>12</v>
      </c>
      <c r="B82" t="s">
        <v>13</v>
      </c>
      <c r="C82" t="s">
        <v>14</v>
      </c>
      <c r="D82">
        <v>1047</v>
      </c>
      <c r="E82" s="1">
        <v>44428</v>
      </c>
      <c r="F82" s="2">
        <v>2448</v>
      </c>
      <c r="G82" s="2">
        <v>3917</v>
      </c>
      <c r="H82" s="2">
        <v>0</v>
      </c>
      <c r="I82" s="2">
        <v>30795</v>
      </c>
      <c r="J82" s="2">
        <v>6365</v>
      </c>
      <c r="K82" s="2">
        <v>1102</v>
      </c>
      <c r="L82" s="2">
        <v>12294</v>
      </c>
      <c r="M82" s="2">
        <f>Tabela_dados_base[[#This Row],[Clicks pagos]]+Tabela_dados_base[[#This Row],[Clicks redes sociais]]</f>
        <v>6365</v>
      </c>
      <c r="N82" s="5">
        <f>IFERROR(Tabela_dados_base[[#This Row],[Clicks pagos]]/Tabela_dados_base[[#This Row],[Total de Clicks]],"")</f>
        <v>0</v>
      </c>
      <c r="O82" s="5">
        <f>IFERROR(Tabela_dados_base[[#This Row],[Clicks redes sociais]]/Tabela_dados_base[[#This Row],[Total de Clicks]],"")</f>
        <v>1</v>
      </c>
      <c r="P82" s="6">
        <f>Tabela_dados_base[[#This Row],[Total de Clicks]]/Tabela_dados_base[[#This Row],[Visualizações]]</f>
        <v>0.51773222710265165</v>
      </c>
      <c r="Q82" s="5">
        <f>Tabela_dados_base[[#This Row],[Vezes pesquisados]]/Tabela_dados_base[[#This Row],[Visualizações]]</f>
        <v>8.9637221408817302E-2</v>
      </c>
      <c r="R82" s="5">
        <f>Tabela_dados_base[[#This Row],[Visitas Diretas]]/Tabela_dados_base[[#This Row],[Visualizações]]</f>
        <v>0.19912152269399708</v>
      </c>
    </row>
    <row r="83" spans="1:18" x14ac:dyDescent="0.2">
      <c r="A83" t="s">
        <v>12</v>
      </c>
      <c r="B83" t="s">
        <v>13</v>
      </c>
      <c r="C83" t="s">
        <v>14</v>
      </c>
      <c r="D83">
        <v>1047</v>
      </c>
      <c r="E83" s="1">
        <v>44429</v>
      </c>
      <c r="F83" s="2">
        <v>1940</v>
      </c>
      <c r="G83" s="2">
        <v>3105</v>
      </c>
      <c r="H83" s="2">
        <v>0</v>
      </c>
      <c r="I83" s="2">
        <v>24299</v>
      </c>
      <c r="J83" s="2">
        <v>5045</v>
      </c>
      <c r="K83" s="2">
        <v>873</v>
      </c>
      <c r="L83" s="2">
        <v>9783</v>
      </c>
      <c r="M83" s="2">
        <f>Tabela_dados_base[[#This Row],[Clicks pagos]]+Tabela_dados_base[[#This Row],[Clicks redes sociais]]</f>
        <v>5045</v>
      </c>
      <c r="N83" s="5">
        <f>IFERROR(Tabela_dados_base[[#This Row],[Clicks pagos]]/Tabela_dados_base[[#This Row],[Total de Clicks]],"")</f>
        <v>0</v>
      </c>
      <c r="O83" s="5">
        <f>IFERROR(Tabela_dados_base[[#This Row],[Clicks redes sociais]]/Tabela_dados_base[[#This Row],[Total de Clicks]],"")</f>
        <v>1</v>
      </c>
      <c r="P83" s="6">
        <f>Tabela_dados_base[[#This Row],[Total de Clicks]]/Tabela_dados_base[[#This Row],[Visualizações]]</f>
        <v>0.51569048349177149</v>
      </c>
      <c r="Q83" s="5">
        <f>Tabela_dados_base[[#This Row],[Vezes pesquisados]]/Tabela_dados_base[[#This Row],[Visualizações]]</f>
        <v>8.9236430542778286E-2</v>
      </c>
      <c r="R83" s="5">
        <f>Tabela_dados_base[[#This Row],[Visitas Diretas]]/Tabela_dados_base[[#This Row],[Visualizações]]</f>
        <v>0.19830317898395175</v>
      </c>
    </row>
    <row r="84" spans="1:18" x14ac:dyDescent="0.2">
      <c r="A84" t="s">
        <v>12</v>
      </c>
      <c r="B84" t="s">
        <v>13</v>
      </c>
      <c r="C84" t="s">
        <v>14</v>
      </c>
      <c r="D84">
        <v>1047</v>
      </c>
      <c r="E84" s="1">
        <v>44430</v>
      </c>
      <c r="F84" s="2">
        <v>106</v>
      </c>
      <c r="G84" s="2">
        <v>170</v>
      </c>
      <c r="H84" s="2">
        <v>0</v>
      </c>
      <c r="I84" s="2">
        <v>1054</v>
      </c>
      <c r="J84" s="2">
        <v>276</v>
      </c>
      <c r="K84" s="2">
        <v>48</v>
      </c>
      <c r="L84" s="2">
        <v>576</v>
      </c>
      <c r="M84" s="2">
        <f>Tabela_dados_base[[#This Row],[Clicks pagos]]+Tabela_dados_base[[#This Row],[Clicks redes sociais]]</f>
        <v>276</v>
      </c>
      <c r="N84" s="5">
        <f>IFERROR(Tabela_dados_base[[#This Row],[Clicks pagos]]/Tabela_dados_base[[#This Row],[Total de Clicks]],"")</f>
        <v>0</v>
      </c>
      <c r="O84" s="5">
        <f>IFERROR(Tabela_dados_base[[#This Row],[Clicks redes sociais]]/Tabela_dados_base[[#This Row],[Total de Clicks]],"")</f>
        <v>1</v>
      </c>
      <c r="P84" s="6">
        <f>Tabela_dados_base[[#This Row],[Total de Clicks]]/Tabela_dados_base[[#This Row],[Visualizações]]</f>
        <v>0.47916666666666669</v>
      </c>
      <c r="Q84" s="5">
        <f>Tabela_dados_base[[#This Row],[Vezes pesquisados]]/Tabela_dados_base[[#This Row],[Visualizações]]</f>
        <v>8.3333333333333329E-2</v>
      </c>
      <c r="R84" s="5">
        <f>Tabela_dados_base[[#This Row],[Visitas Diretas]]/Tabela_dados_base[[#This Row],[Visualizações]]</f>
        <v>0.18402777777777779</v>
      </c>
    </row>
    <row r="85" spans="1:18" x14ac:dyDescent="0.2">
      <c r="A85" t="s">
        <v>12</v>
      </c>
      <c r="B85" t="s">
        <v>13</v>
      </c>
      <c r="C85" t="s">
        <v>14</v>
      </c>
      <c r="D85">
        <v>1047</v>
      </c>
      <c r="E85" s="1">
        <v>44431</v>
      </c>
      <c r="F85" s="2">
        <v>46</v>
      </c>
      <c r="G85" s="2">
        <v>74</v>
      </c>
      <c r="H85" s="2">
        <v>0</v>
      </c>
      <c r="I85" s="2">
        <v>294</v>
      </c>
      <c r="J85" s="2">
        <v>121</v>
      </c>
      <c r="K85" s="2">
        <v>21</v>
      </c>
      <c r="L85" s="2">
        <v>240</v>
      </c>
      <c r="M85" s="2">
        <f>Tabela_dados_base[[#This Row],[Clicks pagos]]+Tabela_dados_base[[#This Row],[Clicks redes sociais]]</f>
        <v>121</v>
      </c>
      <c r="N85" s="5">
        <f>IFERROR(Tabela_dados_base[[#This Row],[Clicks pagos]]/Tabela_dados_base[[#This Row],[Total de Clicks]],"")</f>
        <v>0</v>
      </c>
      <c r="O85" s="5">
        <f>IFERROR(Tabela_dados_base[[#This Row],[Clicks redes sociais]]/Tabela_dados_base[[#This Row],[Total de Clicks]],"")</f>
        <v>1</v>
      </c>
      <c r="P85" s="6">
        <f>Tabela_dados_base[[#This Row],[Total de Clicks]]/Tabela_dados_base[[#This Row],[Visualizações]]</f>
        <v>0.50416666666666665</v>
      </c>
      <c r="Q85" s="5">
        <f>Tabela_dados_base[[#This Row],[Vezes pesquisados]]/Tabela_dados_base[[#This Row],[Visualizações]]</f>
        <v>8.7499999999999994E-2</v>
      </c>
      <c r="R85" s="5">
        <f>Tabela_dados_base[[#This Row],[Visitas Diretas]]/Tabela_dados_base[[#This Row],[Visualizações]]</f>
        <v>0.19166666666666668</v>
      </c>
    </row>
    <row r="86" spans="1:18" x14ac:dyDescent="0.2">
      <c r="A86" t="s">
        <v>12</v>
      </c>
      <c r="B86" t="s">
        <v>13</v>
      </c>
      <c r="C86" t="s">
        <v>14</v>
      </c>
      <c r="D86">
        <v>1047</v>
      </c>
      <c r="E86" s="1">
        <v>44432</v>
      </c>
      <c r="F86" s="2">
        <v>2246</v>
      </c>
      <c r="G86" s="2">
        <v>3594</v>
      </c>
      <c r="H86" s="2">
        <v>0</v>
      </c>
      <c r="I86" s="2">
        <v>20067</v>
      </c>
      <c r="J86" s="2">
        <v>5841</v>
      </c>
      <c r="K86" s="2">
        <v>1011</v>
      </c>
      <c r="L86" s="2">
        <v>11247</v>
      </c>
      <c r="M86" s="2">
        <f>Tabela_dados_base[[#This Row],[Clicks pagos]]+Tabela_dados_base[[#This Row],[Clicks redes sociais]]</f>
        <v>5841</v>
      </c>
      <c r="N86" s="5">
        <f>IFERROR(Tabela_dados_base[[#This Row],[Clicks pagos]]/Tabela_dados_base[[#This Row],[Total de Clicks]],"")</f>
        <v>0</v>
      </c>
      <c r="O86" s="5">
        <f>IFERROR(Tabela_dados_base[[#This Row],[Clicks redes sociais]]/Tabela_dados_base[[#This Row],[Total de Clicks]],"")</f>
        <v>1</v>
      </c>
      <c r="P86" s="6">
        <f>Tabela_dados_base[[#This Row],[Total de Clicks]]/Tabela_dados_base[[#This Row],[Visualizações]]</f>
        <v>0.51933849026407042</v>
      </c>
      <c r="Q86" s="5">
        <f>Tabela_dados_base[[#This Row],[Vezes pesquisados]]/Tabela_dados_base[[#This Row],[Visualizações]]</f>
        <v>8.9890637503334217E-2</v>
      </c>
      <c r="R86" s="5">
        <f>Tabela_dados_base[[#This Row],[Visitas Diretas]]/Tabela_dados_base[[#This Row],[Visualizações]]</f>
        <v>0.1996976971636881</v>
      </c>
    </row>
    <row r="87" spans="1:18" x14ac:dyDescent="0.2">
      <c r="A87" t="s">
        <v>12</v>
      </c>
      <c r="B87" t="s">
        <v>13</v>
      </c>
      <c r="C87" t="s">
        <v>14</v>
      </c>
      <c r="D87">
        <v>1047</v>
      </c>
      <c r="E87" s="1">
        <v>44433</v>
      </c>
      <c r="F87" s="2">
        <v>1170</v>
      </c>
      <c r="G87" s="2">
        <v>1872</v>
      </c>
      <c r="H87" s="2">
        <v>0</v>
      </c>
      <c r="I87" s="2">
        <v>7021</v>
      </c>
      <c r="J87" s="2">
        <v>3042</v>
      </c>
      <c r="K87" s="2">
        <v>527</v>
      </c>
      <c r="L87" s="2">
        <v>5904</v>
      </c>
      <c r="M87" s="2">
        <f>Tabela_dados_base[[#This Row],[Clicks pagos]]+Tabela_dados_base[[#This Row],[Clicks redes sociais]]</f>
        <v>3042</v>
      </c>
      <c r="N87" s="5">
        <f>IFERROR(Tabela_dados_base[[#This Row],[Clicks pagos]]/Tabela_dados_base[[#This Row],[Total de Clicks]],"")</f>
        <v>0</v>
      </c>
      <c r="O87" s="5">
        <f>IFERROR(Tabela_dados_base[[#This Row],[Clicks redes sociais]]/Tabela_dados_base[[#This Row],[Total de Clicks]],"")</f>
        <v>1</v>
      </c>
      <c r="P87" s="6">
        <f>Tabela_dados_base[[#This Row],[Total de Clicks]]/Tabela_dados_base[[#This Row],[Visualizações]]</f>
        <v>0.5152439024390244</v>
      </c>
      <c r="Q87" s="5">
        <f>Tabela_dados_base[[#This Row],[Vezes pesquisados]]/Tabela_dados_base[[#This Row],[Visualizações]]</f>
        <v>8.9261517615176159E-2</v>
      </c>
      <c r="R87" s="5">
        <f>Tabela_dados_base[[#This Row],[Visitas Diretas]]/Tabela_dados_base[[#This Row],[Visualizações]]</f>
        <v>0.19817073170731708</v>
      </c>
    </row>
    <row r="88" spans="1:18" x14ac:dyDescent="0.2">
      <c r="A88" t="s">
        <v>12</v>
      </c>
      <c r="B88" t="s">
        <v>13</v>
      </c>
      <c r="C88" t="s">
        <v>14</v>
      </c>
      <c r="D88">
        <v>1047</v>
      </c>
      <c r="E88" s="1">
        <v>44434</v>
      </c>
      <c r="F88" s="2">
        <v>252</v>
      </c>
      <c r="G88" s="2">
        <v>403</v>
      </c>
      <c r="H88" s="2">
        <v>0</v>
      </c>
      <c r="I88" s="2">
        <v>4432</v>
      </c>
      <c r="J88" s="2">
        <v>655</v>
      </c>
      <c r="K88" s="2">
        <v>113</v>
      </c>
      <c r="L88" s="2">
        <v>1285</v>
      </c>
      <c r="M88" s="2">
        <f>Tabela_dados_base[[#This Row],[Clicks pagos]]+Tabela_dados_base[[#This Row],[Clicks redes sociais]]</f>
        <v>655</v>
      </c>
      <c r="N88" s="5">
        <f>IFERROR(Tabela_dados_base[[#This Row],[Clicks pagos]]/Tabela_dados_base[[#This Row],[Total de Clicks]],"")</f>
        <v>0</v>
      </c>
      <c r="O88" s="5">
        <f>IFERROR(Tabela_dados_base[[#This Row],[Clicks redes sociais]]/Tabela_dados_base[[#This Row],[Total de Clicks]],"")</f>
        <v>1</v>
      </c>
      <c r="P88" s="6">
        <f>Tabela_dados_base[[#This Row],[Total de Clicks]]/Tabela_dados_base[[#This Row],[Visualizações]]</f>
        <v>0.50972762645914393</v>
      </c>
      <c r="Q88" s="5">
        <f>Tabela_dados_base[[#This Row],[Vezes pesquisados]]/Tabela_dados_base[[#This Row],[Visualizações]]</f>
        <v>8.7937743190661485E-2</v>
      </c>
      <c r="R88" s="5">
        <f>Tabela_dados_base[[#This Row],[Visitas Diretas]]/Tabela_dados_base[[#This Row],[Visualizações]]</f>
        <v>0.19610894941634241</v>
      </c>
    </row>
    <row r="89" spans="1:18" x14ac:dyDescent="0.2">
      <c r="A89" t="s">
        <v>12</v>
      </c>
      <c r="B89" t="s">
        <v>13</v>
      </c>
      <c r="C89" t="s">
        <v>14</v>
      </c>
      <c r="D89">
        <v>1047</v>
      </c>
      <c r="E89" s="1">
        <v>44435</v>
      </c>
      <c r="F89" s="2">
        <v>1039</v>
      </c>
      <c r="G89" s="2">
        <v>1662</v>
      </c>
      <c r="H89" s="2">
        <v>0</v>
      </c>
      <c r="I89" s="2">
        <v>19036</v>
      </c>
      <c r="J89" s="2">
        <v>2701</v>
      </c>
      <c r="K89" s="2">
        <v>467</v>
      </c>
      <c r="L89" s="2">
        <v>5278</v>
      </c>
      <c r="M89" s="2">
        <f>Tabela_dados_base[[#This Row],[Clicks pagos]]+Tabela_dados_base[[#This Row],[Clicks redes sociais]]</f>
        <v>2701</v>
      </c>
      <c r="N89" s="5">
        <f>IFERROR(Tabela_dados_base[[#This Row],[Clicks pagos]]/Tabela_dados_base[[#This Row],[Total de Clicks]],"")</f>
        <v>0</v>
      </c>
      <c r="O89" s="5">
        <f>IFERROR(Tabela_dados_base[[#This Row],[Clicks redes sociais]]/Tabela_dados_base[[#This Row],[Total de Clicks]],"")</f>
        <v>1</v>
      </c>
      <c r="P89" s="6">
        <f>Tabela_dados_base[[#This Row],[Total de Clicks]]/Tabela_dados_base[[#This Row],[Visualizações]]</f>
        <v>0.51174687381583939</v>
      </c>
      <c r="Q89" s="5">
        <f>Tabela_dados_base[[#This Row],[Vezes pesquisados]]/Tabela_dados_base[[#This Row],[Visualizações]]</f>
        <v>8.8480485032209163E-2</v>
      </c>
      <c r="R89" s="5">
        <f>Tabela_dados_base[[#This Row],[Visitas Diretas]]/Tabela_dados_base[[#This Row],[Visualizações]]</f>
        <v>0.19685486926866239</v>
      </c>
    </row>
    <row r="90" spans="1:18" x14ac:dyDescent="0.2">
      <c r="A90" t="s">
        <v>12</v>
      </c>
      <c r="B90" t="s">
        <v>13</v>
      </c>
      <c r="C90" t="s">
        <v>14</v>
      </c>
      <c r="D90">
        <v>1047</v>
      </c>
      <c r="E90" s="1">
        <v>44436</v>
      </c>
      <c r="F90" s="2">
        <v>1999</v>
      </c>
      <c r="G90" s="2">
        <v>3199</v>
      </c>
      <c r="H90" s="2">
        <v>0</v>
      </c>
      <c r="I90" s="2">
        <v>36531</v>
      </c>
      <c r="J90" s="2">
        <v>5198</v>
      </c>
      <c r="K90" s="2">
        <v>900</v>
      </c>
      <c r="L90" s="2">
        <v>10046</v>
      </c>
      <c r="M90" s="2">
        <f>Tabela_dados_base[[#This Row],[Clicks pagos]]+Tabela_dados_base[[#This Row],[Clicks redes sociais]]</f>
        <v>5198</v>
      </c>
      <c r="N90" s="5">
        <f>IFERROR(Tabela_dados_base[[#This Row],[Clicks pagos]]/Tabela_dados_base[[#This Row],[Total de Clicks]],"")</f>
        <v>0</v>
      </c>
      <c r="O90" s="5">
        <f>IFERROR(Tabela_dados_base[[#This Row],[Clicks redes sociais]]/Tabela_dados_base[[#This Row],[Total de Clicks]],"")</f>
        <v>1</v>
      </c>
      <c r="P90" s="6">
        <f>Tabela_dados_base[[#This Row],[Total de Clicks]]/Tabela_dados_base[[#This Row],[Visualizações]]</f>
        <v>0.51741986860441969</v>
      </c>
      <c r="Q90" s="5">
        <f>Tabela_dados_base[[#This Row],[Vezes pesquisados]]/Tabela_dados_base[[#This Row],[Visualizações]]</f>
        <v>8.958789567987259E-2</v>
      </c>
      <c r="R90" s="5">
        <f>Tabela_dados_base[[#This Row],[Visitas Diretas]]/Tabela_dados_base[[#This Row],[Visualizações]]</f>
        <v>0.1989846705156281</v>
      </c>
    </row>
    <row r="91" spans="1:18" x14ac:dyDescent="0.2">
      <c r="A91" t="s">
        <v>12</v>
      </c>
      <c r="B91" t="s">
        <v>13</v>
      </c>
      <c r="C91" t="s">
        <v>14</v>
      </c>
      <c r="D91">
        <v>1047</v>
      </c>
      <c r="E91" s="1">
        <v>44437</v>
      </c>
      <c r="F91" s="2">
        <v>684</v>
      </c>
      <c r="G91" s="2">
        <v>1094</v>
      </c>
      <c r="H91" s="2">
        <v>0</v>
      </c>
      <c r="I91" s="2">
        <v>4571</v>
      </c>
      <c r="J91" s="2">
        <v>1778</v>
      </c>
      <c r="K91" s="2">
        <v>308</v>
      </c>
      <c r="L91" s="2">
        <v>3427</v>
      </c>
      <c r="M91" s="2">
        <f>Tabela_dados_base[[#This Row],[Clicks pagos]]+Tabela_dados_base[[#This Row],[Clicks redes sociais]]</f>
        <v>1778</v>
      </c>
      <c r="N91" s="5">
        <f>IFERROR(Tabela_dados_base[[#This Row],[Clicks pagos]]/Tabela_dados_base[[#This Row],[Total de Clicks]],"")</f>
        <v>0</v>
      </c>
      <c r="O91" s="5">
        <f>IFERROR(Tabela_dados_base[[#This Row],[Clicks redes sociais]]/Tabela_dados_base[[#This Row],[Total de Clicks]],"")</f>
        <v>1</v>
      </c>
      <c r="P91" s="6">
        <f>Tabela_dados_base[[#This Row],[Total de Clicks]]/Tabela_dados_base[[#This Row],[Visualizações]]</f>
        <v>0.51882112634957689</v>
      </c>
      <c r="Q91" s="5">
        <f>Tabela_dados_base[[#This Row],[Vezes pesquisados]]/Tabela_dados_base[[#This Row],[Visualizações]]</f>
        <v>8.9874525824336152E-2</v>
      </c>
      <c r="R91" s="5">
        <f>Tabela_dados_base[[#This Row],[Visitas Diretas]]/Tabela_dados_base[[#This Row],[Visualizações]]</f>
        <v>0.19959147942807121</v>
      </c>
    </row>
    <row r="92" spans="1:18" x14ac:dyDescent="0.2">
      <c r="A92" t="s">
        <v>12</v>
      </c>
      <c r="B92" t="s">
        <v>13</v>
      </c>
      <c r="C92" t="s">
        <v>14</v>
      </c>
      <c r="D92">
        <v>1047</v>
      </c>
      <c r="E92" s="1">
        <v>44438</v>
      </c>
      <c r="F92" s="2">
        <v>1915</v>
      </c>
      <c r="G92" s="2">
        <v>3064</v>
      </c>
      <c r="H92" s="2">
        <v>0</v>
      </c>
      <c r="I92" s="2">
        <v>24348</v>
      </c>
      <c r="J92" s="2">
        <v>4980</v>
      </c>
      <c r="K92" s="2">
        <v>862</v>
      </c>
      <c r="L92" s="2">
        <v>9647</v>
      </c>
      <c r="M92" s="2">
        <f>Tabela_dados_base[[#This Row],[Clicks pagos]]+Tabela_dados_base[[#This Row],[Clicks redes sociais]]</f>
        <v>4980</v>
      </c>
      <c r="N92" s="5">
        <f>IFERROR(Tabela_dados_base[[#This Row],[Clicks pagos]]/Tabela_dados_base[[#This Row],[Total de Clicks]],"")</f>
        <v>0</v>
      </c>
      <c r="O92" s="5">
        <f>IFERROR(Tabela_dados_base[[#This Row],[Clicks redes sociais]]/Tabela_dados_base[[#This Row],[Total de Clicks]],"")</f>
        <v>1</v>
      </c>
      <c r="P92" s="6">
        <f>Tabela_dados_base[[#This Row],[Total de Clicks]]/Tabela_dados_base[[#This Row],[Visualizações]]</f>
        <v>0.51622265989426763</v>
      </c>
      <c r="Q92" s="5">
        <f>Tabela_dados_base[[#This Row],[Vezes pesquisados]]/Tabela_dados_base[[#This Row],[Visualizações]]</f>
        <v>8.9354203379288899E-2</v>
      </c>
      <c r="R92" s="5">
        <f>Tabela_dados_base[[#This Row],[Visitas Diretas]]/Tabela_dados_base[[#This Row],[Visualizações]]</f>
        <v>0.19850730797139007</v>
      </c>
    </row>
    <row r="93" spans="1:18" x14ac:dyDescent="0.2">
      <c r="A93" t="s">
        <v>12</v>
      </c>
      <c r="B93" t="s">
        <v>13</v>
      </c>
      <c r="C93" t="s">
        <v>14</v>
      </c>
      <c r="D93">
        <v>1047</v>
      </c>
      <c r="E93" s="1">
        <v>44439</v>
      </c>
      <c r="F93" s="2">
        <v>126</v>
      </c>
      <c r="G93" s="2">
        <v>202</v>
      </c>
      <c r="H93" s="2">
        <v>0</v>
      </c>
      <c r="I93" s="2">
        <v>1384</v>
      </c>
      <c r="J93" s="2">
        <v>328</v>
      </c>
      <c r="K93" s="2">
        <v>57</v>
      </c>
      <c r="L93" s="2">
        <v>708</v>
      </c>
      <c r="M93" s="2">
        <f>Tabela_dados_base[[#This Row],[Clicks pagos]]+Tabela_dados_base[[#This Row],[Clicks redes sociais]]</f>
        <v>328</v>
      </c>
      <c r="N93" s="5">
        <f>IFERROR(Tabela_dados_base[[#This Row],[Clicks pagos]]/Tabela_dados_base[[#This Row],[Total de Clicks]],"")</f>
        <v>0</v>
      </c>
      <c r="O93" s="5">
        <f>IFERROR(Tabela_dados_base[[#This Row],[Clicks redes sociais]]/Tabela_dados_base[[#This Row],[Total de Clicks]],"")</f>
        <v>1</v>
      </c>
      <c r="P93" s="6">
        <f>Tabela_dados_base[[#This Row],[Total de Clicks]]/Tabela_dados_base[[#This Row],[Visualizações]]</f>
        <v>0.4632768361581921</v>
      </c>
      <c r="Q93" s="5">
        <f>Tabela_dados_base[[#This Row],[Vezes pesquisados]]/Tabela_dados_base[[#This Row],[Visualizações]]</f>
        <v>8.050847457627118E-2</v>
      </c>
      <c r="R93" s="5">
        <f>Tabela_dados_base[[#This Row],[Visitas Diretas]]/Tabela_dados_base[[#This Row],[Visualizações]]</f>
        <v>0.17796610169491525</v>
      </c>
    </row>
    <row r="94" spans="1:18" x14ac:dyDescent="0.2">
      <c r="A94" t="s">
        <v>12</v>
      </c>
      <c r="B94" t="s">
        <v>13</v>
      </c>
      <c r="C94" t="s">
        <v>14</v>
      </c>
      <c r="D94">
        <v>1047</v>
      </c>
      <c r="E94" s="1">
        <v>44440</v>
      </c>
      <c r="F94" s="2">
        <v>374</v>
      </c>
      <c r="G94" s="2">
        <v>599</v>
      </c>
      <c r="H94" s="2">
        <v>0</v>
      </c>
      <c r="I94" s="2">
        <v>5074</v>
      </c>
      <c r="J94" s="2">
        <v>973</v>
      </c>
      <c r="K94" s="2">
        <v>168</v>
      </c>
      <c r="L94" s="2">
        <v>1895</v>
      </c>
      <c r="M94" s="2">
        <f>Tabela_dados_base[[#This Row],[Clicks pagos]]+Tabela_dados_base[[#This Row],[Clicks redes sociais]]</f>
        <v>973</v>
      </c>
      <c r="N94" s="5">
        <f>IFERROR(Tabela_dados_base[[#This Row],[Clicks pagos]]/Tabela_dados_base[[#This Row],[Total de Clicks]],"")</f>
        <v>0</v>
      </c>
      <c r="O94" s="5">
        <f>IFERROR(Tabela_dados_base[[#This Row],[Clicks redes sociais]]/Tabela_dados_base[[#This Row],[Total de Clicks]],"")</f>
        <v>1</v>
      </c>
      <c r="P94" s="6">
        <f>Tabela_dados_base[[#This Row],[Total de Clicks]]/Tabela_dados_base[[#This Row],[Visualizações]]</f>
        <v>0.51345646437994719</v>
      </c>
      <c r="Q94" s="5">
        <f>Tabela_dados_base[[#This Row],[Vezes pesquisados]]/Tabela_dados_base[[#This Row],[Visualizações]]</f>
        <v>8.8654353562005281E-2</v>
      </c>
      <c r="R94" s="5">
        <f>Tabela_dados_base[[#This Row],[Visitas Diretas]]/Tabela_dados_base[[#This Row],[Visualizações]]</f>
        <v>0.19736147757255937</v>
      </c>
    </row>
    <row r="95" spans="1:18" x14ac:dyDescent="0.2">
      <c r="A95" t="s">
        <v>12</v>
      </c>
      <c r="B95" t="s">
        <v>13</v>
      </c>
      <c r="C95" t="s">
        <v>14</v>
      </c>
      <c r="D95">
        <v>1047</v>
      </c>
      <c r="E95" s="1">
        <v>44441</v>
      </c>
      <c r="F95" s="2">
        <v>169</v>
      </c>
      <c r="G95" s="2">
        <v>271</v>
      </c>
      <c r="H95" s="2">
        <v>0</v>
      </c>
      <c r="I95" s="2">
        <v>1750</v>
      </c>
      <c r="J95" s="2">
        <v>440</v>
      </c>
      <c r="K95" s="2">
        <v>76</v>
      </c>
      <c r="L95" s="2">
        <v>903</v>
      </c>
      <c r="M95" s="2">
        <f>Tabela_dados_base[[#This Row],[Clicks pagos]]+Tabela_dados_base[[#This Row],[Clicks redes sociais]]</f>
        <v>440</v>
      </c>
      <c r="N95" s="5">
        <f>IFERROR(Tabela_dados_base[[#This Row],[Clicks pagos]]/Tabela_dados_base[[#This Row],[Total de Clicks]],"")</f>
        <v>0</v>
      </c>
      <c r="O95" s="5">
        <f>IFERROR(Tabela_dados_base[[#This Row],[Clicks redes sociais]]/Tabela_dados_base[[#This Row],[Total de Clicks]],"")</f>
        <v>1</v>
      </c>
      <c r="P95" s="6">
        <f>Tabela_dados_base[[#This Row],[Total de Clicks]]/Tabela_dados_base[[#This Row],[Visualizações]]</f>
        <v>0.48726467331118495</v>
      </c>
      <c r="Q95" s="5">
        <f>Tabela_dados_base[[#This Row],[Vezes pesquisados]]/Tabela_dados_base[[#This Row],[Visualizações]]</f>
        <v>8.416389811738649E-2</v>
      </c>
      <c r="R95" s="5">
        <f>Tabela_dados_base[[#This Row],[Visitas Diretas]]/Tabela_dados_base[[#This Row],[Visualizações]]</f>
        <v>0.18715393133997785</v>
      </c>
    </row>
    <row r="96" spans="1:18" x14ac:dyDescent="0.2">
      <c r="A96" t="s">
        <v>12</v>
      </c>
      <c r="B96" t="s">
        <v>13</v>
      </c>
      <c r="C96" t="s">
        <v>14</v>
      </c>
      <c r="D96">
        <v>1047</v>
      </c>
      <c r="E96" s="1">
        <v>44442</v>
      </c>
      <c r="F96" s="2">
        <v>285</v>
      </c>
      <c r="G96" s="2">
        <v>456</v>
      </c>
      <c r="H96" s="2">
        <v>0</v>
      </c>
      <c r="I96" s="2">
        <v>2637</v>
      </c>
      <c r="J96" s="2">
        <v>741</v>
      </c>
      <c r="K96" s="2">
        <v>128</v>
      </c>
      <c r="L96" s="2">
        <v>1438</v>
      </c>
      <c r="M96" s="2">
        <f>Tabela_dados_base[[#This Row],[Clicks pagos]]+Tabela_dados_base[[#This Row],[Clicks redes sociais]]</f>
        <v>741</v>
      </c>
      <c r="N96" s="5">
        <f>IFERROR(Tabela_dados_base[[#This Row],[Clicks pagos]]/Tabela_dados_base[[#This Row],[Total de Clicks]],"")</f>
        <v>0</v>
      </c>
      <c r="O96" s="5">
        <f>IFERROR(Tabela_dados_base[[#This Row],[Clicks redes sociais]]/Tabela_dados_base[[#This Row],[Total de Clicks]],"")</f>
        <v>1</v>
      </c>
      <c r="P96" s="6">
        <f>Tabela_dados_base[[#This Row],[Total de Clicks]]/Tabela_dados_base[[#This Row],[Visualizações]]</f>
        <v>0.51529902642559111</v>
      </c>
      <c r="Q96" s="5">
        <f>Tabela_dados_base[[#This Row],[Vezes pesquisados]]/Tabela_dados_base[[#This Row],[Visualizações]]</f>
        <v>8.9012517385257298E-2</v>
      </c>
      <c r="R96" s="5">
        <f>Tabela_dados_base[[#This Row],[Visitas Diretas]]/Tabela_dados_base[[#This Row],[Visualizações]]</f>
        <v>0.19819193324061196</v>
      </c>
    </row>
    <row r="97" spans="1:18" x14ac:dyDescent="0.2">
      <c r="A97" t="s">
        <v>12</v>
      </c>
      <c r="B97" t="s">
        <v>13</v>
      </c>
      <c r="C97" t="s">
        <v>14</v>
      </c>
      <c r="D97">
        <v>1047</v>
      </c>
      <c r="E97" s="1">
        <v>44443</v>
      </c>
      <c r="F97" s="2">
        <v>580</v>
      </c>
      <c r="G97" s="2">
        <v>927</v>
      </c>
      <c r="H97" s="2">
        <v>0</v>
      </c>
      <c r="I97" s="2">
        <v>8092</v>
      </c>
      <c r="J97" s="2">
        <v>1507</v>
      </c>
      <c r="K97" s="2">
        <v>261</v>
      </c>
      <c r="L97" s="2">
        <v>2931</v>
      </c>
      <c r="M97" s="2">
        <f>Tabela_dados_base[[#This Row],[Clicks pagos]]+Tabela_dados_base[[#This Row],[Clicks redes sociais]]</f>
        <v>1507</v>
      </c>
      <c r="N97" s="5">
        <f>IFERROR(Tabela_dados_base[[#This Row],[Clicks pagos]]/Tabela_dados_base[[#This Row],[Total de Clicks]],"")</f>
        <v>0</v>
      </c>
      <c r="O97" s="5">
        <f>IFERROR(Tabela_dados_base[[#This Row],[Clicks redes sociais]]/Tabela_dados_base[[#This Row],[Total de Clicks]],"")</f>
        <v>1</v>
      </c>
      <c r="P97" s="6">
        <f>Tabela_dados_base[[#This Row],[Total de Clicks]]/Tabela_dados_base[[#This Row],[Visualizações]]</f>
        <v>0.51415899010576593</v>
      </c>
      <c r="Q97" s="5">
        <f>Tabela_dados_base[[#This Row],[Vezes pesquisados]]/Tabela_dados_base[[#This Row],[Visualizações]]</f>
        <v>8.9048106448311154E-2</v>
      </c>
      <c r="R97" s="5">
        <f>Tabela_dados_base[[#This Row],[Visitas Diretas]]/Tabela_dados_base[[#This Row],[Visualizações]]</f>
        <v>0.19788468099624701</v>
      </c>
    </row>
    <row r="98" spans="1:18" x14ac:dyDescent="0.2">
      <c r="A98" t="s">
        <v>12</v>
      </c>
      <c r="B98" t="s">
        <v>13</v>
      </c>
      <c r="C98" t="s">
        <v>14</v>
      </c>
      <c r="D98">
        <v>1047</v>
      </c>
      <c r="E98" s="1">
        <v>44444</v>
      </c>
      <c r="F98" s="2">
        <v>370</v>
      </c>
      <c r="G98" s="2">
        <v>591</v>
      </c>
      <c r="H98" s="2">
        <v>0</v>
      </c>
      <c r="I98" s="2">
        <v>6859</v>
      </c>
      <c r="J98" s="2">
        <v>961</v>
      </c>
      <c r="K98" s="2">
        <v>166</v>
      </c>
      <c r="L98" s="2">
        <v>1888</v>
      </c>
      <c r="M98" s="2">
        <f>Tabela_dados_base[[#This Row],[Clicks pagos]]+Tabela_dados_base[[#This Row],[Clicks redes sociais]]</f>
        <v>961</v>
      </c>
      <c r="N98" s="5">
        <f>IFERROR(Tabela_dados_base[[#This Row],[Clicks pagos]]/Tabela_dados_base[[#This Row],[Total de Clicks]],"")</f>
        <v>0</v>
      </c>
      <c r="O98" s="5">
        <f>IFERROR(Tabela_dados_base[[#This Row],[Clicks redes sociais]]/Tabela_dados_base[[#This Row],[Total de Clicks]],"")</f>
        <v>1</v>
      </c>
      <c r="P98" s="6">
        <f>Tabela_dados_base[[#This Row],[Total de Clicks]]/Tabela_dados_base[[#This Row],[Visualizações]]</f>
        <v>0.5090042372881356</v>
      </c>
      <c r="Q98" s="5">
        <f>Tabela_dados_base[[#This Row],[Vezes pesquisados]]/Tabela_dados_base[[#This Row],[Visualizações]]</f>
        <v>8.7923728813559324E-2</v>
      </c>
      <c r="R98" s="5">
        <f>Tabela_dados_base[[#This Row],[Visitas Diretas]]/Tabela_dados_base[[#This Row],[Visualizações]]</f>
        <v>0.19597457627118645</v>
      </c>
    </row>
    <row r="99" spans="1:18" x14ac:dyDescent="0.2">
      <c r="A99" t="s">
        <v>12</v>
      </c>
      <c r="B99" t="s">
        <v>13</v>
      </c>
      <c r="C99" t="s">
        <v>14</v>
      </c>
      <c r="D99">
        <v>1047</v>
      </c>
      <c r="E99" s="1">
        <v>44445</v>
      </c>
      <c r="F99" s="2">
        <v>250</v>
      </c>
      <c r="G99" s="2">
        <v>400</v>
      </c>
      <c r="H99" s="2">
        <v>0</v>
      </c>
      <c r="I99" s="2">
        <v>3386</v>
      </c>
      <c r="J99" s="2">
        <v>650</v>
      </c>
      <c r="K99" s="2">
        <v>113</v>
      </c>
      <c r="L99" s="2">
        <v>1342</v>
      </c>
      <c r="M99" s="2">
        <f>Tabela_dados_base[[#This Row],[Clicks pagos]]+Tabela_dados_base[[#This Row],[Clicks redes sociais]]</f>
        <v>650</v>
      </c>
      <c r="N99" s="5">
        <f>IFERROR(Tabela_dados_base[[#This Row],[Clicks pagos]]/Tabela_dados_base[[#This Row],[Total de Clicks]],"")</f>
        <v>0</v>
      </c>
      <c r="O99" s="5">
        <f>IFERROR(Tabela_dados_base[[#This Row],[Clicks redes sociais]]/Tabela_dados_base[[#This Row],[Total de Clicks]],"")</f>
        <v>1</v>
      </c>
      <c r="P99" s="6">
        <f>Tabela_dados_base[[#This Row],[Total de Clicks]]/Tabela_dados_base[[#This Row],[Visualizações]]</f>
        <v>0.4843517138599106</v>
      </c>
      <c r="Q99" s="5">
        <f>Tabela_dados_base[[#This Row],[Vezes pesquisados]]/Tabela_dados_base[[#This Row],[Visualizações]]</f>
        <v>8.4202682563338307E-2</v>
      </c>
      <c r="R99" s="5">
        <f>Tabela_dados_base[[#This Row],[Visitas Diretas]]/Tabela_dados_base[[#This Row],[Visualizações]]</f>
        <v>0.18628912071535023</v>
      </c>
    </row>
    <row r="100" spans="1:18" x14ac:dyDescent="0.2">
      <c r="A100" t="s">
        <v>12</v>
      </c>
      <c r="B100" t="s">
        <v>13</v>
      </c>
      <c r="C100" t="s">
        <v>14</v>
      </c>
      <c r="D100">
        <v>1047</v>
      </c>
      <c r="E100" s="1">
        <v>44446</v>
      </c>
      <c r="F100" s="2">
        <v>51</v>
      </c>
      <c r="G100" s="2">
        <v>82</v>
      </c>
      <c r="H100" s="2">
        <v>0</v>
      </c>
      <c r="I100" s="2">
        <v>411</v>
      </c>
      <c r="J100" s="2">
        <v>133</v>
      </c>
      <c r="K100" s="2">
        <v>23</v>
      </c>
      <c r="L100" s="2">
        <v>314</v>
      </c>
      <c r="M100" s="2">
        <f>Tabela_dados_base[[#This Row],[Clicks pagos]]+Tabela_dados_base[[#This Row],[Clicks redes sociais]]</f>
        <v>133</v>
      </c>
      <c r="N100" s="5">
        <f>IFERROR(Tabela_dados_base[[#This Row],[Clicks pagos]]/Tabela_dados_base[[#This Row],[Total de Clicks]],"")</f>
        <v>0</v>
      </c>
      <c r="O100" s="5">
        <f>IFERROR(Tabela_dados_base[[#This Row],[Clicks redes sociais]]/Tabela_dados_base[[#This Row],[Total de Clicks]],"")</f>
        <v>1</v>
      </c>
      <c r="P100" s="6">
        <f>Tabela_dados_base[[#This Row],[Total de Clicks]]/Tabela_dados_base[[#This Row],[Visualizações]]</f>
        <v>0.42356687898089174</v>
      </c>
      <c r="Q100" s="5">
        <f>Tabela_dados_base[[#This Row],[Vezes pesquisados]]/Tabela_dados_base[[#This Row],[Visualizações]]</f>
        <v>7.32484076433121E-2</v>
      </c>
      <c r="R100" s="5">
        <f>Tabela_dados_base[[#This Row],[Visitas Diretas]]/Tabela_dados_base[[#This Row],[Visualizações]]</f>
        <v>0.16242038216560509</v>
      </c>
    </row>
    <row r="101" spans="1:18" x14ac:dyDescent="0.2">
      <c r="A101" t="s">
        <v>12</v>
      </c>
      <c r="B101" t="s">
        <v>13</v>
      </c>
      <c r="C101" t="s">
        <v>14</v>
      </c>
      <c r="D101">
        <v>1047</v>
      </c>
      <c r="E101" s="1">
        <v>44447</v>
      </c>
      <c r="F101" s="2">
        <v>4788</v>
      </c>
      <c r="G101" s="2">
        <v>7661</v>
      </c>
      <c r="H101" s="2">
        <v>0</v>
      </c>
      <c r="I101" s="2">
        <v>84401</v>
      </c>
      <c r="J101" s="2">
        <v>12449</v>
      </c>
      <c r="K101" s="2">
        <v>2155</v>
      </c>
      <c r="L101" s="2">
        <v>23965</v>
      </c>
      <c r="M101" s="2">
        <f>Tabela_dados_base[[#This Row],[Clicks pagos]]+Tabela_dados_base[[#This Row],[Clicks redes sociais]]</f>
        <v>12449</v>
      </c>
      <c r="N101" s="5">
        <f>IFERROR(Tabela_dados_base[[#This Row],[Clicks pagos]]/Tabela_dados_base[[#This Row],[Total de Clicks]],"")</f>
        <v>0</v>
      </c>
      <c r="O101" s="5">
        <f>IFERROR(Tabela_dados_base[[#This Row],[Clicks redes sociais]]/Tabela_dados_base[[#This Row],[Total de Clicks]],"")</f>
        <v>1</v>
      </c>
      <c r="P101" s="6">
        <f>Tabela_dados_base[[#This Row],[Total de Clicks]]/Tabela_dados_base[[#This Row],[Visualizações]]</f>
        <v>0.51946588775297309</v>
      </c>
      <c r="Q101" s="5">
        <f>Tabela_dados_base[[#This Row],[Vezes pesquisados]]/Tabela_dados_base[[#This Row],[Visualizações]]</f>
        <v>8.9922804089296884E-2</v>
      </c>
      <c r="R101" s="5">
        <f>Tabela_dados_base[[#This Row],[Visitas Diretas]]/Tabela_dados_base[[#This Row],[Visualizações]]</f>
        <v>0.19979136240350512</v>
      </c>
    </row>
    <row r="102" spans="1:18" x14ac:dyDescent="0.2">
      <c r="A102" t="s">
        <v>12</v>
      </c>
      <c r="B102" t="s">
        <v>13</v>
      </c>
      <c r="C102" t="s">
        <v>14</v>
      </c>
      <c r="D102">
        <v>1047</v>
      </c>
      <c r="E102" s="1">
        <v>44448</v>
      </c>
      <c r="F102" s="2">
        <v>422</v>
      </c>
      <c r="G102" s="2">
        <v>676</v>
      </c>
      <c r="H102" s="2">
        <v>0</v>
      </c>
      <c r="I102" s="2">
        <v>5297</v>
      </c>
      <c r="J102" s="2">
        <v>1098</v>
      </c>
      <c r="K102" s="2">
        <v>190</v>
      </c>
      <c r="L102" s="2">
        <v>2153</v>
      </c>
      <c r="M102" s="2">
        <f>Tabela_dados_base[[#This Row],[Clicks pagos]]+Tabela_dados_base[[#This Row],[Clicks redes sociais]]</f>
        <v>1098</v>
      </c>
      <c r="N102" s="5">
        <f>IFERROR(Tabela_dados_base[[#This Row],[Clicks pagos]]/Tabela_dados_base[[#This Row],[Total de Clicks]],"")</f>
        <v>0</v>
      </c>
      <c r="O102" s="5">
        <f>IFERROR(Tabela_dados_base[[#This Row],[Clicks redes sociais]]/Tabela_dados_base[[#This Row],[Total de Clicks]],"")</f>
        <v>1</v>
      </c>
      <c r="P102" s="6">
        <f>Tabela_dados_base[[#This Row],[Total de Clicks]]/Tabela_dados_base[[#This Row],[Visualizações]]</f>
        <v>0.50998606595448215</v>
      </c>
      <c r="Q102" s="5">
        <f>Tabela_dados_base[[#This Row],[Vezes pesquisados]]/Tabela_dados_base[[#This Row],[Visualizações]]</f>
        <v>8.8248954946586161E-2</v>
      </c>
      <c r="R102" s="5">
        <f>Tabela_dados_base[[#This Row],[Visitas Diretas]]/Tabela_dados_base[[#This Row],[Visualizações]]</f>
        <v>0.19600557361820714</v>
      </c>
    </row>
    <row r="103" spans="1:18" x14ac:dyDescent="0.2">
      <c r="A103" t="s">
        <v>12</v>
      </c>
      <c r="B103" t="s">
        <v>13</v>
      </c>
      <c r="C103" t="s">
        <v>14</v>
      </c>
      <c r="D103">
        <v>1047</v>
      </c>
      <c r="E103" s="1">
        <v>44449</v>
      </c>
      <c r="F103" s="2">
        <v>1148</v>
      </c>
      <c r="G103" s="2">
        <v>1837</v>
      </c>
      <c r="H103" s="2">
        <v>0</v>
      </c>
      <c r="I103" s="2">
        <v>16325</v>
      </c>
      <c r="J103" s="2">
        <v>2985</v>
      </c>
      <c r="K103" s="2">
        <v>517</v>
      </c>
      <c r="L103" s="2">
        <v>5758</v>
      </c>
      <c r="M103" s="2">
        <f>Tabela_dados_base[[#This Row],[Clicks pagos]]+Tabela_dados_base[[#This Row],[Clicks redes sociais]]</f>
        <v>2985</v>
      </c>
      <c r="N103" s="5">
        <f>IFERROR(Tabela_dados_base[[#This Row],[Clicks pagos]]/Tabela_dados_base[[#This Row],[Total de Clicks]],"")</f>
        <v>0</v>
      </c>
      <c r="O103" s="5">
        <f>IFERROR(Tabela_dados_base[[#This Row],[Clicks redes sociais]]/Tabela_dados_base[[#This Row],[Total de Clicks]],"")</f>
        <v>1</v>
      </c>
      <c r="P103" s="6">
        <f>Tabela_dados_base[[#This Row],[Total de Clicks]]/Tabela_dados_base[[#This Row],[Visualizações]]</f>
        <v>0.51840916985064256</v>
      </c>
      <c r="Q103" s="5">
        <f>Tabela_dados_base[[#This Row],[Vezes pesquisados]]/Tabela_dados_base[[#This Row],[Visualizações]]</f>
        <v>8.9788120875303926E-2</v>
      </c>
      <c r="R103" s="5">
        <f>Tabela_dados_base[[#This Row],[Visitas Diretas]]/Tabela_dados_base[[#This Row],[Visualizações]]</f>
        <v>0.19937478291073291</v>
      </c>
    </row>
    <row r="104" spans="1:18" x14ac:dyDescent="0.2">
      <c r="A104" t="s">
        <v>12</v>
      </c>
      <c r="B104" t="s">
        <v>13</v>
      </c>
      <c r="C104" t="s">
        <v>14</v>
      </c>
      <c r="D104">
        <v>1047</v>
      </c>
      <c r="E104" s="1">
        <v>44450</v>
      </c>
      <c r="F104" s="2">
        <v>260</v>
      </c>
      <c r="G104" s="2">
        <v>417</v>
      </c>
      <c r="H104" s="2">
        <v>0</v>
      </c>
      <c r="I104" s="2">
        <v>2538</v>
      </c>
      <c r="J104" s="2">
        <v>677</v>
      </c>
      <c r="K104" s="2">
        <v>117</v>
      </c>
      <c r="L104" s="2">
        <v>1313</v>
      </c>
      <c r="M104" s="2">
        <f>Tabela_dados_base[[#This Row],[Clicks pagos]]+Tabela_dados_base[[#This Row],[Clicks redes sociais]]</f>
        <v>677</v>
      </c>
      <c r="N104" s="5">
        <f>IFERROR(Tabela_dados_base[[#This Row],[Clicks pagos]]/Tabela_dados_base[[#This Row],[Total de Clicks]],"")</f>
        <v>0</v>
      </c>
      <c r="O104" s="5">
        <f>IFERROR(Tabela_dados_base[[#This Row],[Clicks redes sociais]]/Tabela_dados_base[[#This Row],[Total de Clicks]],"")</f>
        <v>1</v>
      </c>
      <c r="P104" s="6">
        <f>Tabela_dados_base[[#This Row],[Total de Clicks]]/Tabela_dados_base[[#This Row],[Visualizações]]</f>
        <v>0.51561309977151559</v>
      </c>
      <c r="Q104" s="5">
        <f>Tabela_dados_base[[#This Row],[Vezes pesquisados]]/Tabela_dados_base[[#This Row],[Visualizações]]</f>
        <v>8.9108910891089105E-2</v>
      </c>
      <c r="R104" s="5">
        <f>Tabela_dados_base[[#This Row],[Visitas Diretas]]/Tabela_dados_base[[#This Row],[Visualizações]]</f>
        <v>0.19801980198019803</v>
      </c>
    </row>
    <row r="105" spans="1:18" x14ac:dyDescent="0.2">
      <c r="A105" t="s">
        <v>12</v>
      </c>
      <c r="B105" t="s">
        <v>13</v>
      </c>
      <c r="C105" t="s">
        <v>14</v>
      </c>
      <c r="D105">
        <v>1047</v>
      </c>
      <c r="E105" s="1">
        <v>44451</v>
      </c>
      <c r="F105" s="2">
        <v>515</v>
      </c>
      <c r="G105" s="2">
        <v>824</v>
      </c>
      <c r="H105" s="2">
        <v>0</v>
      </c>
      <c r="I105" s="2">
        <v>6645</v>
      </c>
      <c r="J105" s="2">
        <v>1338</v>
      </c>
      <c r="K105" s="2">
        <v>232</v>
      </c>
      <c r="L105" s="2">
        <v>2579</v>
      </c>
      <c r="M105" s="2">
        <f>Tabela_dados_base[[#This Row],[Clicks pagos]]+Tabela_dados_base[[#This Row],[Clicks redes sociais]]</f>
        <v>1338</v>
      </c>
      <c r="N105" s="5">
        <f>IFERROR(Tabela_dados_base[[#This Row],[Clicks pagos]]/Tabela_dados_base[[#This Row],[Total de Clicks]],"")</f>
        <v>0</v>
      </c>
      <c r="O105" s="5">
        <f>IFERROR(Tabela_dados_base[[#This Row],[Clicks redes sociais]]/Tabela_dados_base[[#This Row],[Total de Clicks]],"")</f>
        <v>1</v>
      </c>
      <c r="P105" s="6">
        <f>Tabela_dados_base[[#This Row],[Total de Clicks]]/Tabela_dados_base[[#This Row],[Visualizações]]</f>
        <v>0.51880573865839474</v>
      </c>
      <c r="Q105" s="5">
        <f>Tabela_dados_base[[#This Row],[Vezes pesquisados]]/Tabela_dados_base[[#This Row],[Visualizações]]</f>
        <v>8.9957347809228386E-2</v>
      </c>
      <c r="R105" s="5">
        <f>Tabela_dados_base[[#This Row],[Visitas Diretas]]/Tabela_dados_base[[#This Row],[Visualizações]]</f>
        <v>0.19968980224893371</v>
      </c>
    </row>
    <row r="106" spans="1:18" x14ac:dyDescent="0.2">
      <c r="A106" t="s">
        <v>12</v>
      </c>
      <c r="B106" t="s">
        <v>13</v>
      </c>
      <c r="C106" t="s">
        <v>14</v>
      </c>
      <c r="D106">
        <v>1047</v>
      </c>
      <c r="E106" s="1">
        <v>44452</v>
      </c>
      <c r="F106" s="2">
        <v>126</v>
      </c>
      <c r="G106" s="2">
        <v>202</v>
      </c>
      <c r="H106" s="2">
        <v>0</v>
      </c>
      <c r="I106" s="2">
        <v>1187</v>
      </c>
      <c r="J106" s="2">
        <v>328</v>
      </c>
      <c r="K106" s="2">
        <v>57</v>
      </c>
      <c r="L106" s="2">
        <v>678</v>
      </c>
      <c r="M106" s="2">
        <f>Tabela_dados_base[[#This Row],[Clicks pagos]]+Tabela_dados_base[[#This Row],[Clicks redes sociais]]</f>
        <v>328</v>
      </c>
      <c r="N106" s="5">
        <f>IFERROR(Tabela_dados_base[[#This Row],[Clicks pagos]]/Tabela_dados_base[[#This Row],[Total de Clicks]],"")</f>
        <v>0</v>
      </c>
      <c r="O106" s="5">
        <f>IFERROR(Tabela_dados_base[[#This Row],[Clicks redes sociais]]/Tabela_dados_base[[#This Row],[Total de Clicks]],"")</f>
        <v>1</v>
      </c>
      <c r="P106" s="6">
        <f>Tabela_dados_base[[#This Row],[Total de Clicks]]/Tabela_dados_base[[#This Row],[Visualizações]]</f>
        <v>0.48377581120943952</v>
      </c>
      <c r="Q106" s="5">
        <f>Tabela_dados_base[[#This Row],[Vezes pesquisados]]/Tabela_dados_base[[#This Row],[Visualizações]]</f>
        <v>8.4070796460176997E-2</v>
      </c>
      <c r="R106" s="5">
        <f>Tabela_dados_base[[#This Row],[Visitas Diretas]]/Tabela_dados_base[[#This Row],[Visualizações]]</f>
        <v>0.18584070796460178</v>
      </c>
    </row>
    <row r="107" spans="1:18" x14ac:dyDescent="0.2">
      <c r="A107" t="s">
        <v>12</v>
      </c>
      <c r="B107" t="s">
        <v>13</v>
      </c>
      <c r="C107" t="s">
        <v>14</v>
      </c>
      <c r="D107">
        <v>1047</v>
      </c>
      <c r="E107" s="1">
        <v>44453</v>
      </c>
      <c r="F107" s="2">
        <v>67</v>
      </c>
      <c r="G107" s="2">
        <v>108</v>
      </c>
      <c r="H107" s="2">
        <v>0</v>
      </c>
      <c r="I107" s="2">
        <v>579</v>
      </c>
      <c r="J107" s="2">
        <v>175</v>
      </c>
      <c r="K107" s="2">
        <v>30</v>
      </c>
      <c r="L107" s="2">
        <v>415</v>
      </c>
      <c r="M107" s="2">
        <f>Tabela_dados_base[[#This Row],[Clicks pagos]]+Tabela_dados_base[[#This Row],[Clicks redes sociais]]</f>
        <v>175</v>
      </c>
      <c r="N107" s="5">
        <f>IFERROR(Tabela_dados_base[[#This Row],[Clicks pagos]]/Tabela_dados_base[[#This Row],[Total de Clicks]],"")</f>
        <v>0</v>
      </c>
      <c r="O107" s="5">
        <f>IFERROR(Tabela_dados_base[[#This Row],[Clicks redes sociais]]/Tabela_dados_base[[#This Row],[Total de Clicks]],"")</f>
        <v>1</v>
      </c>
      <c r="P107" s="6">
        <f>Tabela_dados_base[[#This Row],[Total de Clicks]]/Tabela_dados_base[[#This Row],[Visualizações]]</f>
        <v>0.42168674698795183</v>
      </c>
      <c r="Q107" s="5">
        <f>Tabela_dados_base[[#This Row],[Vezes pesquisados]]/Tabela_dados_base[[#This Row],[Visualizações]]</f>
        <v>7.2289156626506021E-2</v>
      </c>
      <c r="R107" s="5">
        <f>Tabela_dados_base[[#This Row],[Visitas Diretas]]/Tabela_dados_base[[#This Row],[Visualizações]]</f>
        <v>0.16144578313253011</v>
      </c>
    </row>
    <row r="108" spans="1:18" x14ac:dyDescent="0.2">
      <c r="A108" t="s">
        <v>12</v>
      </c>
      <c r="B108" t="s">
        <v>13</v>
      </c>
      <c r="C108" t="s">
        <v>14</v>
      </c>
      <c r="D108">
        <v>1047</v>
      </c>
      <c r="E108" s="1">
        <v>44454</v>
      </c>
      <c r="F108" s="2">
        <v>211</v>
      </c>
      <c r="G108" s="2">
        <v>337</v>
      </c>
      <c r="H108" s="2">
        <v>0</v>
      </c>
      <c r="I108" s="2">
        <v>1154</v>
      </c>
      <c r="J108" s="2">
        <v>548</v>
      </c>
      <c r="K108" s="2">
        <v>95</v>
      </c>
      <c r="L108" s="2">
        <v>1076</v>
      </c>
      <c r="M108" s="2">
        <f>Tabela_dados_base[[#This Row],[Clicks pagos]]+Tabela_dados_base[[#This Row],[Clicks redes sociais]]</f>
        <v>548</v>
      </c>
      <c r="N108" s="5">
        <f>IFERROR(Tabela_dados_base[[#This Row],[Clicks pagos]]/Tabela_dados_base[[#This Row],[Total de Clicks]],"")</f>
        <v>0</v>
      </c>
      <c r="O108" s="5">
        <f>IFERROR(Tabela_dados_base[[#This Row],[Clicks redes sociais]]/Tabela_dados_base[[#This Row],[Total de Clicks]],"")</f>
        <v>1</v>
      </c>
      <c r="P108" s="6">
        <f>Tabela_dados_base[[#This Row],[Total de Clicks]]/Tabela_dados_base[[#This Row],[Visualizações]]</f>
        <v>0.50929368029739774</v>
      </c>
      <c r="Q108" s="5">
        <f>Tabela_dados_base[[#This Row],[Vezes pesquisados]]/Tabela_dados_base[[#This Row],[Visualizações]]</f>
        <v>8.8289962825278817E-2</v>
      </c>
      <c r="R108" s="5">
        <f>Tabela_dados_base[[#This Row],[Visitas Diretas]]/Tabela_dados_base[[#This Row],[Visualizações]]</f>
        <v>0.19609665427509293</v>
      </c>
    </row>
    <row r="109" spans="1:18" x14ac:dyDescent="0.2">
      <c r="A109" t="s">
        <v>12</v>
      </c>
      <c r="B109" t="s">
        <v>13</v>
      </c>
      <c r="C109" t="s">
        <v>14</v>
      </c>
      <c r="D109">
        <v>1047</v>
      </c>
      <c r="E109" s="1">
        <v>44455</v>
      </c>
      <c r="F109" s="2">
        <v>160</v>
      </c>
      <c r="G109" s="2">
        <v>256</v>
      </c>
      <c r="H109" s="2">
        <v>0</v>
      </c>
      <c r="I109" s="2">
        <v>912</v>
      </c>
      <c r="J109" s="2">
        <v>416</v>
      </c>
      <c r="K109" s="2">
        <v>72</v>
      </c>
      <c r="L109" s="2">
        <v>815</v>
      </c>
      <c r="M109" s="2">
        <f>Tabela_dados_base[[#This Row],[Clicks pagos]]+Tabela_dados_base[[#This Row],[Clicks redes sociais]]</f>
        <v>416</v>
      </c>
      <c r="N109" s="5">
        <f>IFERROR(Tabela_dados_base[[#This Row],[Clicks pagos]]/Tabela_dados_base[[#This Row],[Total de Clicks]],"")</f>
        <v>0</v>
      </c>
      <c r="O109" s="5">
        <f>IFERROR(Tabela_dados_base[[#This Row],[Clicks redes sociais]]/Tabela_dados_base[[#This Row],[Total de Clicks]],"")</f>
        <v>1</v>
      </c>
      <c r="P109" s="6">
        <f>Tabela_dados_base[[#This Row],[Total de Clicks]]/Tabela_dados_base[[#This Row],[Visualizações]]</f>
        <v>0.51042944785276079</v>
      </c>
      <c r="Q109" s="5">
        <f>Tabela_dados_base[[#This Row],[Vezes pesquisados]]/Tabela_dados_base[[#This Row],[Visualizações]]</f>
        <v>8.8343558282208592E-2</v>
      </c>
      <c r="R109" s="5">
        <f>Tabela_dados_base[[#This Row],[Visitas Diretas]]/Tabela_dados_base[[#This Row],[Visualizações]]</f>
        <v>0.19631901840490798</v>
      </c>
    </row>
    <row r="110" spans="1:18" x14ac:dyDescent="0.2">
      <c r="A110" t="s">
        <v>12</v>
      </c>
      <c r="B110" t="s">
        <v>13</v>
      </c>
      <c r="C110" t="s">
        <v>14</v>
      </c>
      <c r="D110">
        <v>1047</v>
      </c>
      <c r="E110" s="1">
        <v>44456</v>
      </c>
      <c r="F110" s="2">
        <v>681</v>
      </c>
      <c r="G110" s="2">
        <v>1089</v>
      </c>
      <c r="H110" s="2">
        <v>0</v>
      </c>
      <c r="I110" s="2">
        <v>12123</v>
      </c>
      <c r="J110" s="2">
        <v>1770</v>
      </c>
      <c r="K110" s="2">
        <v>306</v>
      </c>
      <c r="L110" s="2">
        <v>3486</v>
      </c>
      <c r="M110" s="2">
        <f>Tabela_dados_base[[#This Row],[Clicks pagos]]+Tabela_dados_base[[#This Row],[Clicks redes sociais]]</f>
        <v>1770</v>
      </c>
      <c r="N110" s="5">
        <f>IFERROR(Tabela_dados_base[[#This Row],[Clicks pagos]]/Tabela_dados_base[[#This Row],[Total de Clicks]],"")</f>
        <v>0</v>
      </c>
      <c r="O110" s="5">
        <f>IFERROR(Tabela_dados_base[[#This Row],[Clicks redes sociais]]/Tabela_dados_base[[#This Row],[Total de Clicks]],"")</f>
        <v>1</v>
      </c>
      <c r="P110" s="6">
        <f>Tabela_dados_base[[#This Row],[Total de Clicks]]/Tabela_dados_base[[#This Row],[Visualizações]]</f>
        <v>0.50774526678141141</v>
      </c>
      <c r="Q110" s="5">
        <f>Tabela_dados_base[[#This Row],[Vezes pesquisados]]/Tabela_dados_base[[#This Row],[Visualizações]]</f>
        <v>8.7779690189328741E-2</v>
      </c>
      <c r="R110" s="5">
        <f>Tabela_dados_base[[#This Row],[Visitas Diretas]]/Tabela_dados_base[[#This Row],[Visualizações]]</f>
        <v>0.19535283993115318</v>
      </c>
    </row>
    <row r="111" spans="1:18" x14ac:dyDescent="0.2">
      <c r="A111" t="s">
        <v>12</v>
      </c>
      <c r="B111" t="s">
        <v>13</v>
      </c>
      <c r="C111" t="s">
        <v>14</v>
      </c>
      <c r="D111">
        <v>1047</v>
      </c>
      <c r="E111" s="1">
        <v>44457</v>
      </c>
      <c r="F111" s="2">
        <v>721</v>
      </c>
      <c r="G111" s="2">
        <v>1153</v>
      </c>
      <c r="H111" s="2">
        <v>0</v>
      </c>
      <c r="I111" s="2">
        <v>6748</v>
      </c>
      <c r="J111" s="2">
        <v>1874</v>
      </c>
      <c r="K111" s="2">
        <v>324</v>
      </c>
      <c r="L111" s="2">
        <v>3631</v>
      </c>
      <c r="M111" s="2">
        <f>Tabela_dados_base[[#This Row],[Clicks pagos]]+Tabela_dados_base[[#This Row],[Clicks redes sociais]]</f>
        <v>1874</v>
      </c>
      <c r="N111" s="5">
        <f>IFERROR(Tabela_dados_base[[#This Row],[Clicks pagos]]/Tabela_dados_base[[#This Row],[Total de Clicks]],"")</f>
        <v>0</v>
      </c>
      <c r="O111" s="5">
        <f>IFERROR(Tabela_dados_base[[#This Row],[Clicks redes sociais]]/Tabela_dados_base[[#This Row],[Total de Clicks]],"")</f>
        <v>1</v>
      </c>
      <c r="P111" s="6">
        <f>Tabela_dados_base[[#This Row],[Total de Clicks]]/Tabela_dados_base[[#This Row],[Visualizações]]</f>
        <v>0.51611126411456898</v>
      </c>
      <c r="Q111" s="5">
        <f>Tabela_dados_base[[#This Row],[Vezes pesquisados]]/Tabela_dados_base[[#This Row],[Visualizações]]</f>
        <v>8.9231616634535937E-2</v>
      </c>
      <c r="R111" s="5">
        <f>Tabela_dados_base[[#This Row],[Visitas Diretas]]/Tabela_dados_base[[#This Row],[Visualizações]]</f>
        <v>0.19856788763426053</v>
      </c>
    </row>
    <row r="112" spans="1:18" x14ac:dyDescent="0.2">
      <c r="A112" t="s">
        <v>12</v>
      </c>
      <c r="B112" t="s">
        <v>13</v>
      </c>
      <c r="C112" t="s">
        <v>14</v>
      </c>
      <c r="D112">
        <v>1047</v>
      </c>
      <c r="E112" s="1">
        <v>44458</v>
      </c>
      <c r="F112" s="2">
        <v>247</v>
      </c>
      <c r="G112" s="2">
        <v>395</v>
      </c>
      <c r="H112" s="2">
        <v>0</v>
      </c>
      <c r="I112" s="2">
        <v>2764</v>
      </c>
      <c r="J112" s="2">
        <v>642</v>
      </c>
      <c r="K112" s="2">
        <v>111</v>
      </c>
      <c r="L112" s="2">
        <v>1322</v>
      </c>
      <c r="M112" s="2">
        <f>Tabela_dados_base[[#This Row],[Clicks pagos]]+Tabela_dados_base[[#This Row],[Clicks redes sociais]]</f>
        <v>642</v>
      </c>
      <c r="N112" s="5">
        <f>IFERROR(Tabela_dados_base[[#This Row],[Clicks pagos]]/Tabela_dados_base[[#This Row],[Total de Clicks]],"")</f>
        <v>0</v>
      </c>
      <c r="O112" s="5">
        <f>IFERROR(Tabela_dados_base[[#This Row],[Clicks redes sociais]]/Tabela_dados_base[[#This Row],[Total de Clicks]],"")</f>
        <v>1</v>
      </c>
      <c r="P112" s="6">
        <f>Tabela_dados_base[[#This Row],[Total de Clicks]]/Tabela_dados_base[[#This Row],[Visualizações]]</f>
        <v>0.48562783661119518</v>
      </c>
      <c r="Q112" s="5">
        <f>Tabela_dados_base[[#This Row],[Vezes pesquisados]]/Tabela_dados_base[[#This Row],[Visualizações]]</f>
        <v>8.3963691376701968E-2</v>
      </c>
      <c r="R112" s="5">
        <f>Tabela_dados_base[[#This Row],[Visitas Diretas]]/Tabela_dados_base[[#This Row],[Visualizações]]</f>
        <v>0.18683812405446293</v>
      </c>
    </row>
    <row r="113" spans="1:18" x14ac:dyDescent="0.2">
      <c r="A113" t="s">
        <v>12</v>
      </c>
      <c r="B113" t="s">
        <v>13</v>
      </c>
      <c r="C113" t="s">
        <v>14</v>
      </c>
      <c r="D113">
        <v>1047</v>
      </c>
      <c r="E113" s="1">
        <v>44459</v>
      </c>
      <c r="F113" s="2">
        <v>130</v>
      </c>
      <c r="G113" s="2">
        <v>208</v>
      </c>
      <c r="H113" s="2">
        <v>0</v>
      </c>
      <c r="I113" s="2">
        <v>1937</v>
      </c>
      <c r="J113" s="2">
        <v>338</v>
      </c>
      <c r="K113" s="2">
        <v>59</v>
      </c>
      <c r="L113" s="2">
        <v>676</v>
      </c>
      <c r="M113" s="2">
        <f>Tabela_dados_base[[#This Row],[Clicks pagos]]+Tabela_dados_base[[#This Row],[Clicks redes sociais]]</f>
        <v>338</v>
      </c>
      <c r="N113" s="5">
        <f>IFERROR(Tabela_dados_base[[#This Row],[Clicks pagos]]/Tabela_dados_base[[#This Row],[Total de Clicks]],"")</f>
        <v>0</v>
      </c>
      <c r="O113" s="5">
        <f>IFERROR(Tabela_dados_base[[#This Row],[Clicks redes sociais]]/Tabela_dados_base[[#This Row],[Total de Clicks]],"")</f>
        <v>1</v>
      </c>
      <c r="P113" s="6">
        <f>Tabela_dados_base[[#This Row],[Total de Clicks]]/Tabela_dados_base[[#This Row],[Visualizações]]</f>
        <v>0.5</v>
      </c>
      <c r="Q113" s="5">
        <f>Tabela_dados_base[[#This Row],[Vezes pesquisados]]/Tabela_dados_base[[#This Row],[Visualizações]]</f>
        <v>8.7278106508875741E-2</v>
      </c>
      <c r="R113" s="5">
        <f>Tabela_dados_base[[#This Row],[Visitas Diretas]]/Tabela_dados_base[[#This Row],[Visualizações]]</f>
        <v>0.19230769230769232</v>
      </c>
    </row>
    <row r="114" spans="1:18" x14ac:dyDescent="0.2">
      <c r="A114" t="s">
        <v>12</v>
      </c>
      <c r="B114" t="s">
        <v>13</v>
      </c>
      <c r="C114" t="s">
        <v>14</v>
      </c>
      <c r="D114">
        <v>1047</v>
      </c>
      <c r="E114" s="1">
        <v>44460</v>
      </c>
      <c r="F114" s="2">
        <v>52</v>
      </c>
      <c r="G114" s="2">
        <v>83</v>
      </c>
      <c r="H114" s="2">
        <v>0</v>
      </c>
      <c r="I114" s="2">
        <v>348</v>
      </c>
      <c r="J114" s="2">
        <v>135</v>
      </c>
      <c r="K114" s="2">
        <v>23</v>
      </c>
      <c r="L114" s="2">
        <v>265</v>
      </c>
      <c r="M114" s="2">
        <f>Tabela_dados_base[[#This Row],[Clicks pagos]]+Tabela_dados_base[[#This Row],[Clicks redes sociais]]</f>
        <v>135</v>
      </c>
      <c r="N114" s="5">
        <f>IFERROR(Tabela_dados_base[[#This Row],[Clicks pagos]]/Tabela_dados_base[[#This Row],[Total de Clicks]],"")</f>
        <v>0</v>
      </c>
      <c r="O114" s="5">
        <f>IFERROR(Tabela_dados_base[[#This Row],[Clicks redes sociais]]/Tabela_dados_base[[#This Row],[Total de Clicks]],"")</f>
        <v>1</v>
      </c>
      <c r="P114" s="6">
        <f>Tabela_dados_base[[#This Row],[Total de Clicks]]/Tabela_dados_base[[#This Row],[Visualizações]]</f>
        <v>0.50943396226415094</v>
      </c>
      <c r="Q114" s="5">
        <f>Tabela_dados_base[[#This Row],[Vezes pesquisados]]/Tabela_dados_base[[#This Row],[Visualizações]]</f>
        <v>8.6792452830188674E-2</v>
      </c>
      <c r="R114" s="5">
        <f>Tabela_dados_base[[#This Row],[Visitas Diretas]]/Tabela_dados_base[[#This Row],[Visualizações]]</f>
        <v>0.19622641509433963</v>
      </c>
    </row>
    <row r="115" spans="1:18" x14ac:dyDescent="0.2">
      <c r="A115" t="s">
        <v>12</v>
      </c>
      <c r="B115" t="s">
        <v>13</v>
      </c>
      <c r="C115" t="s">
        <v>14</v>
      </c>
      <c r="D115">
        <v>1047</v>
      </c>
      <c r="E115" s="1">
        <v>44461</v>
      </c>
      <c r="F115" s="2">
        <v>160</v>
      </c>
      <c r="G115" s="2">
        <v>256</v>
      </c>
      <c r="H115" s="2">
        <v>0</v>
      </c>
      <c r="I115" s="2">
        <v>917</v>
      </c>
      <c r="J115" s="2">
        <v>416</v>
      </c>
      <c r="K115" s="2">
        <v>72</v>
      </c>
      <c r="L115" s="2">
        <v>818</v>
      </c>
      <c r="M115" s="2">
        <f>Tabela_dados_base[[#This Row],[Clicks pagos]]+Tabela_dados_base[[#This Row],[Clicks redes sociais]]</f>
        <v>416</v>
      </c>
      <c r="N115" s="5">
        <f>IFERROR(Tabela_dados_base[[#This Row],[Clicks pagos]]/Tabela_dados_base[[#This Row],[Total de Clicks]],"")</f>
        <v>0</v>
      </c>
      <c r="O115" s="5">
        <f>IFERROR(Tabela_dados_base[[#This Row],[Clicks redes sociais]]/Tabela_dados_base[[#This Row],[Total de Clicks]],"")</f>
        <v>1</v>
      </c>
      <c r="P115" s="6">
        <f>Tabela_dados_base[[#This Row],[Total de Clicks]]/Tabela_dados_base[[#This Row],[Visualizações]]</f>
        <v>0.50855745721271395</v>
      </c>
      <c r="Q115" s="5">
        <f>Tabela_dados_base[[#This Row],[Vezes pesquisados]]/Tabela_dados_base[[#This Row],[Visualizações]]</f>
        <v>8.8019559902200492E-2</v>
      </c>
      <c r="R115" s="5">
        <f>Tabela_dados_base[[#This Row],[Visitas Diretas]]/Tabela_dados_base[[#This Row],[Visualizações]]</f>
        <v>0.19559902200488999</v>
      </c>
    </row>
    <row r="116" spans="1:18" x14ac:dyDescent="0.2">
      <c r="A116" t="s">
        <v>12</v>
      </c>
      <c r="B116" t="s">
        <v>13</v>
      </c>
      <c r="C116" t="s">
        <v>14</v>
      </c>
      <c r="D116">
        <v>1047</v>
      </c>
      <c r="E116" s="1">
        <v>44462</v>
      </c>
      <c r="F116" s="2">
        <v>177</v>
      </c>
      <c r="G116" s="2">
        <v>283</v>
      </c>
      <c r="H116" s="2">
        <v>0</v>
      </c>
      <c r="I116" s="2">
        <v>1975</v>
      </c>
      <c r="J116" s="2">
        <v>460</v>
      </c>
      <c r="K116" s="2">
        <v>80</v>
      </c>
      <c r="L116" s="2">
        <v>965</v>
      </c>
      <c r="M116" s="2">
        <f>Tabela_dados_base[[#This Row],[Clicks pagos]]+Tabela_dados_base[[#This Row],[Clicks redes sociais]]</f>
        <v>460</v>
      </c>
      <c r="N116" s="5">
        <f>IFERROR(Tabela_dados_base[[#This Row],[Clicks pagos]]/Tabela_dados_base[[#This Row],[Total de Clicks]],"")</f>
        <v>0</v>
      </c>
      <c r="O116" s="5">
        <f>IFERROR(Tabela_dados_base[[#This Row],[Clicks redes sociais]]/Tabela_dados_base[[#This Row],[Total de Clicks]],"")</f>
        <v>1</v>
      </c>
      <c r="P116" s="6">
        <f>Tabela_dados_base[[#This Row],[Total de Clicks]]/Tabela_dados_base[[#This Row],[Visualizações]]</f>
        <v>0.47668393782383417</v>
      </c>
      <c r="Q116" s="5">
        <f>Tabela_dados_base[[#This Row],[Vezes pesquisados]]/Tabela_dados_base[[#This Row],[Visualizações]]</f>
        <v>8.2901554404145081E-2</v>
      </c>
      <c r="R116" s="5">
        <f>Tabela_dados_base[[#This Row],[Visitas Diretas]]/Tabela_dados_base[[#This Row],[Visualizações]]</f>
        <v>0.18341968911917098</v>
      </c>
    </row>
    <row r="117" spans="1:18" x14ac:dyDescent="0.2">
      <c r="A117" t="s">
        <v>12</v>
      </c>
      <c r="B117" t="s">
        <v>13</v>
      </c>
      <c r="C117" t="s">
        <v>14</v>
      </c>
      <c r="D117">
        <v>1047</v>
      </c>
      <c r="E117" s="1">
        <v>44463</v>
      </c>
      <c r="F117" s="2">
        <v>340</v>
      </c>
      <c r="G117" s="2">
        <v>544</v>
      </c>
      <c r="H117" s="2">
        <v>0</v>
      </c>
      <c r="I117" s="2">
        <v>3211</v>
      </c>
      <c r="J117" s="2">
        <v>885</v>
      </c>
      <c r="K117" s="2">
        <v>153</v>
      </c>
      <c r="L117" s="2">
        <v>1743</v>
      </c>
      <c r="M117" s="2">
        <f>Tabela_dados_base[[#This Row],[Clicks pagos]]+Tabela_dados_base[[#This Row],[Clicks redes sociais]]</f>
        <v>885</v>
      </c>
      <c r="N117" s="5">
        <f>IFERROR(Tabela_dados_base[[#This Row],[Clicks pagos]]/Tabela_dados_base[[#This Row],[Total de Clicks]],"")</f>
        <v>0</v>
      </c>
      <c r="O117" s="5">
        <f>IFERROR(Tabela_dados_base[[#This Row],[Clicks redes sociais]]/Tabela_dados_base[[#This Row],[Total de Clicks]],"")</f>
        <v>1</v>
      </c>
      <c r="P117" s="6">
        <f>Tabela_dados_base[[#This Row],[Total de Clicks]]/Tabela_dados_base[[#This Row],[Visualizações]]</f>
        <v>0.50774526678141141</v>
      </c>
      <c r="Q117" s="5">
        <f>Tabela_dados_base[[#This Row],[Vezes pesquisados]]/Tabela_dados_base[[#This Row],[Visualizações]]</f>
        <v>8.7779690189328741E-2</v>
      </c>
      <c r="R117" s="5">
        <f>Tabela_dados_base[[#This Row],[Visitas Diretas]]/Tabela_dados_base[[#This Row],[Visualizações]]</f>
        <v>0.19506597819850832</v>
      </c>
    </row>
    <row r="118" spans="1:18" x14ac:dyDescent="0.2">
      <c r="A118" t="s">
        <v>12</v>
      </c>
      <c r="B118" t="s">
        <v>13</v>
      </c>
      <c r="C118" t="s">
        <v>14</v>
      </c>
      <c r="D118">
        <v>1047</v>
      </c>
      <c r="E118" s="1">
        <v>44464</v>
      </c>
      <c r="F118" s="2">
        <v>22</v>
      </c>
      <c r="G118" s="2">
        <v>35</v>
      </c>
      <c r="H118" s="2">
        <v>0</v>
      </c>
      <c r="I118" s="2">
        <v>317</v>
      </c>
      <c r="J118" s="2">
        <v>57</v>
      </c>
      <c r="K118" s="2">
        <v>10</v>
      </c>
      <c r="L118" s="2">
        <v>183</v>
      </c>
      <c r="M118" s="2">
        <f>Tabela_dados_base[[#This Row],[Clicks pagos]]+Tabela_dados_base[[#This Row],[Clicks redes sociais]]</f>
        <v>57</v>
      </c>
      <c r="N118" s="5">
        <f>IFERROR(Tabela_dados_base[[#This Row],[Clicks pagos]]/Tabela_dados_base[[#This Row],[Total de Clicks]],"")</f>
        <v>0</v>
      </c>
      <c r="O118" s="5">
        <f>IFERROR(Tabela_dados_base[[#This Row],[Clicks redes sociais]]/Tabela_dados_base[[#This Row],[Total de Clicks]],"")</f>
        <v>1</v>
      </c>
      <c r="P118" s="6">
        <f>Tabela_dados_base[[#This Row],[Total de Clicks]]/Tabela_dados_base[[#This Row],[Visualizações]]</f>
        <v>0.31147540983606559</v>
      </c>
      <c r="Q118" s="5">
        <f>Tabela_dados_base[[#This Row],[Vezes pesquisados]]/Tabela_dados_base[[#This Row],[Visualizações]]</f>
        <v>5.4644808743169397E-2</v>
      </c>
      <c r="R118" s="5">
        <f>Tabela_dados_base[[#This Row],[Visitas Diretas]]/Tabela_dados_base[[#This Row],[Visualizações]]</f>
        <v>0.12021857923497267</v>
      </c>
    </row>
    <row r="119" spans="1:18" x14ac:dyDescent="0.2">
      <c r="A119" t="s">
        <v>12</v>
      </c>
      <c r="B119" t="s">
        <v>13</v>
      </c>
      <c r="C119" t="s">
        <v>14</v>
      </c>
      <c r="D119">
        <v>1047</v>
      </c>
      <c r="E119" s="1">
        <v>44465</v>
      </c>
      <c r="F119" s="2">
        <v>112</v>
      </c>
      <c r="G119" s="2">
        <v>179</v>
      </c>
      <c r="H119" s="2">
        <v>0</v>
      </c>
      <c r="I119" s="2">
        <v>2246</v>
      </c>
      <c r="J119" s="2">
        <v>291</v>
      </c>
      <c r="K119" s="2">
        <v>50</v>
      </c>
      <c r="L119" s="2">
        <v>570</v>
      </c>
      <c r="M119" s="2">
        <f>Tabela_dados_base[[#This Row],[Clicks pagos]]+Tabela_dados_base[[#This Row],[Clicks redes sociais]]</f>
        <v>291</v>
      </c>
      <c r="N119" s="5">
        <f>IFERROR(Tabela_dados_base[[#This Row],[Clicks pagos]]/Tabela_dados_base[[#This Row],[Total de Clicks]],"")</f>
        <v>0</v>
      </c>
      <c r="O119" s="5">
        <f>IFERROR(Tabela_dados_base[[#This Row],[Clicks redes sociais]]/Tabela_dados_base[[#This Row],[Total de Clicks]],"")</f>
        <v>1</v>
      </c>
      <c r="P119" s="6">
        <f>Tabela_dados_base[[#This Row],[Total de Clicks]]/Tabela_dados_base[[#This Row],[Visualizações]]</f>
        <v>0.51052631578947372</v>
      </c>
      <c r="Q119" s="5">
        <f>Tabela_dados_base[[#This Row],[Vezes pesquisados]]/Tabela_dados_base[[#This Row],[Visualizações]]</f>
        <v>8.771929824561403E-2</v>
      </c>
      <c r="R119" s="5">
        <f>Tabela_dados_base[[#This Row],[Visitas Diretas]]/Tabela_dados_base[[#This Row],[Visualizações]]</f>
        <v>0.19649122807017544</v>
      </c>
    </row>
    <row r="120" spans="1:18" x14ac:dyDescent="0.2">
      <c r="A120" t="s">
        <v>12</v>
      </c>
      <c r="B120" t="s">
        <v>13</v>
      </c>
      <c r="C120" t="s">
        <v>14</v>
      </c>
      <c r="D120">
        <v>1047</v>
      </c>
      <c r="E120" s="1">
        <v>44466</v>
      </c>
      <c r="F120" s="2">
        <v>216</v>
      </c>
      <c r="G120" s="2">
        <v>345</v>
      </c>
      <c r="H120" s="2">
        <v>0</v>
      </c>
      <c r="I120" s="2">
        <v>1701</v>
      </c>
      <c r="J120" s="2">
        <v>561</v>
      </c>
      <c r="K120" s="2">
        <v>97</v>
      </c>
      <c r="L120" s="2">
        <v>1137</v>
      </c>
      <c r="M120" s="2">
        <f>Tabela_dados_base[[#This Row],[Clicks pagos]]+Tabela_dados_base[[#This Row],[Clicks redes sociais]]</f>
        <v>561</v>
      </c>
      <c r="N120" s="5">
        <f>IFERROR(Tabela_dados_base[[#This Row],[Clicks pagos]]/Tabela_dados_base[[#This Row],[Total de Clicks]],"")</f>
        <v>0</v>
      </c>
      <c r="O120" s="5">
        <f>IFERROR(Tabela_dados_base[[#This Row],[Clicks redes sociais]]/Tabela_dados_base[[#This Row],[Total de Clicks]],"")</f>
        <v>1</v>
      </c>
      <c r="P120" s="6">
        <f>Tabela_dados_base[[#This Row],[Total de Clicks]]/Tabela_dados_base[[#This Row],[Visualizações]]</f>
        <v>0.49340369393139843</v>
      </c>
      <c r="Q120" s="5">
        <f>Tabela_dados_base[[#This Row],[Vezes pesquisados]]/Tabela_dados_base[[#This Row],[Visualizações]]</f>
        <v>8.5312225153913804E-2</v>
      </c>
      <c r="R120" s="5">
        <f>Tabela_dados_base[[#This Row],[Visitas Diretas]]/Tabela_dados_base[[#This Row],[Visualizações]]</f>
        <v>0.18997361477572558</v>
      </c>
    </row>
    <row r="121" spans="1:18" x14ac:dyDescent="0.2">
      <c r="A121" t="s">
        <v>12</v>
      </c>
      <c r="B121" t="s">
        <v>13</v>
      </c>
      <c r="C121" t="s">
        <v>14</v>
      </c>
      <c r="D121">
        <v>1047</v>
      </c>
      <c r="E121" s="1">
        <v>44467</v>
      </c>
      <c r="F121" s="2">
        <v>94</v>
      </c>
      <c r="G121" s="2">
        <v>150</v>
      </c>
      <c r="H121" s="2">
        <v>0</v>
      </c>
      <c r="I121" s="2">
        <v>1638</v>
      </c>
      <c r="J121" s="2">
        <v>243</v>
      </c>
      <c r="K121" s="2">
        <v>42</v>
      </c>
      <c r="L121" s="2">
        <v>531</v>
      </c>
      <c r="M121" s="2">
        <f>Tabela_dados_base[[#This Row],[Clicks pagos]]+Tabela_dados_base[[#This Row],[Clicks redes sociais]]</f>
        <v>243</v>
      </c>
      <c r="N121" s="5">
        <f>IFERROR(Tabela_dados_base[[#This Row],[Clicks pagos]]/Tabela_dados_base[[#This Row],[Total de Clicks]],"")</f>
        <v>0</v>
      </c>
      <c r="O121" s="5">
        <f>IFERROR(Tabela_dados_base[[#This Row],[Clicks redes sociais]]/Tabela_dados_base[[#This Row],[Total de Clicks]],"")</f>
        <v>1</v>
      </c>
      <c r="P121" s="6">
        <f>Tabela_dados_base[[#This Row],[Total de Clicks]]/Tabela_dados_base[[#This Row],[Visualizações]]</f>
        <v>0.4576271186440678</v>
      </c>
      <c r="Q121" s="5">
        <f>Tabela_dados_base[[#This Row],[Vezes pesquisados]]/Tabela_dados_base[[#This Row],[Visualizações]]</f>
        <v>7.909604519774012E-2</v>
      </c>
      <c r="R121" s="5">
        <f>Tabela_dados_base[[#This Row],[Visitas Diretas]]/Tabela_dados_base[[#This Row],[Visualizações]]</f>
        <v>0.17702448210922786</v>
      </c>
    </row>
    <row r="122" spans="1:18" x14ac:dyDescent="0.2">
      <c r="A122" t="s">
        <v>12</v>
      </c>
      <c r="B122" t="s">
        <v>13</v>
      </c>
      <c r="C122" t="s">
        <v>14</v>
      </c>
      <c r="D122">
        <v>1047</v>
      </c>
      <c r="E122" s="1">
        <v>44468</v>
      </c>
      <c r="F122" s="2">
        <v>396</v>
      </c>
      <c r="G122" s="2">
        <v>634</v>
      </c>
      <c r="H122" s="2">
        <v>0</v>
      </c>
      <c r="I122" s="2">
        <v>2273</v>
      </c>
      <c r="J122" s="2">
        <v>1030</v>
      </c>
      <c r="K122" s="2">
        <v>178</v>
      </c>
      <c r="L122" s="2">
        <v>1996</v>
      </c>
      <c r="M122" s="2">
        <f>Tabela_dados_base[[#This Row],[Clicks pagos]]+Tabela_dados_base[[#This Row],[Clicks redes sociais]]</f>
        <v>1030</v>
      </c>
      <c r="N122" s="5">
        <f>IFERROR(Tabela_dados_base[[#This Row],[Clicks pagos]]/Tabela_dados_base[[#This Row],[Total de Clicks]],"")</f>
        <v>0</v>
      </c>
      <c r="O122" s="5">
        <f>IFERROR(Tabela_dados_base[[#This Row],[Clicks redes sociais]]/Tabela_dados_base[[#This Row],[Total de Clicks]],"")</f>
        <v>1</v>
      </c>
      <c r="P122" s="6">
        <f>Tabela_dados_base[[#This Row],[Total de Clicks]]/Tabela_dados_base[[#This Row],[Visualizações]]</f>
        <v>0.51603206412825653</v>
      </c>
      <c r="Q122" s="5">
        <f>Tabela_dados_base[[#This Row],[Vezes pesquisados]]/Tabela_dados_base[[#This Row],[Visualizações]]</f>
        <v>8.917835671342686E-2</v>
      </c>
      <c r="R122" s="5">
        <f>Tabela_dados_base[[#This Row],[Visitas Diretas]]/Tabela_dados_base[[#This Row],[Visualizações]]</f>
        <v>0.19839679358717435</v>
      </c>
    </row>
    <row r="123" spans="1:18" x14ac:dyDescent="0.2">
      <c r="A123" t="s">
        <v>12</v>
      </c>
      <c r="B123" t="s">
        <v>13</v>
      </c>
      <c r="C123" t="s">
        <v>14</v>
      </c>
      <c r="D123">
        <v>1047</v>
      </c>
      <c r="E123" s="1">
        <v>44469</v>
      </c>
      <c r="F123" s="2">
        <v>32</v>
      </c>
      <c r="G123" s="2">
        <v>51</v>
      </c>
      <c r="H123" s="2">
        <v>0</v>
      </c>
      <c r="I123" s="2">
        <v>584</v>
      </c>
      <c r="J123" s="2">
        <v>83</v>
      </c>
      <c r="K123" s="2">
        <v>14</v>
      </c>
      <c r="L123" s="2">
        <v>206</v>
      </c>
      <c r="M123" s="2">
        <f>Tabela_dados_base[[#This Row],[Clicks pagos]]+Tabela_dados_base[[#This Row],[Clicks redes sociais]]</f>
        <v>83</v>
      </c>
      <c r="N123" s="5">
        <f>IFERROR(Tabela_dados_base[[#This Row],[Clicks pagos]]/Tabela_dados_base[[#This Row],[Total de Clicks]],"")</f>
        <v>0</v>
      </c>
      <c r="O123" s="5">
        <f>IFERROR(Tabela_dados_base[[#This Row],[Clicks redes sociais]]/Tabela_dados_base[[#This Row],[Total de Clicks]],"")</f>
        <v>1</v>
      </c>
      <c r="P123" s="6">
        <f>Tabela_dados_base[[#This Row],[Total de Clicks]]/Tabela_dados_base[[#This Row],[Visualizações]]</f>
        <v>0.40291262135922329</v>
      </c>
      <c r="Q123" s="5">
        <f>Tabela_dados_base[[#This Row],[Vezes pesquisados]]/Tabela_dados_base[[#This Row],[Visualizações]]</f>
        <v>6.7961165048543687E-2</v>
      </c>
      <c r="R123" s="5">
        <f>Tabela_dados_base[[#This Row],[Visitas Diretas]]/Tabela_dados_base[[#This Row],[Visualizações]]</f>
        <v>0.1553398058252427</v>
      </c>
    </row>
    <row r="124" spans="1:18" x14ac:dyDescent="0.2">
      <c r="A124" t="s">
        <v>12</v>
      </c>
      <c r="B124" t="s">
        <v>13</v>
      </c>
      <c r="C124" t="s">
        <v>14</v>
      </c>
      <c r="D124">
        <v>1047</v>
      </c>
      <c r="E124" s="1">
        <v>44470</v>
      </c>
      <c r="F124" s="2">
        <v>86</v>
      </c>
      <c r="G124" s="2">
        <v>138</v>
      </c>
      <c r="H124" s="2">
        <v>0</v>
      </c>
      <c r="I124" s="2">
        <v>1064</v>
      </c>
      <c r="J124" s="2">
        <v>225</v>
      </c>
      <c r="K124" s="2">
        <v>39</v>
      </c>
      <c r="L124" s="2">
        <v>456</v>
      </c>
      <c r="M124" s="2">
        <f>Tabela_dados_base[[#This Row],[Clicks pagos]]+Tabela_dados_base[[#This Row],[Clicks redes sociais]]</f>
        <v>225</v>
      </c>
      <c r="N124" s="5">
        <f>IFERROR(Tabela_dados_base[[#This Row],[Clicks pagos]]/Tabela_dados_base[[#This Row],[Total de Clicks]],"")</f>
        <v>0</v>
      </c>
      <c r="O124" s="5">
        <f>IFERROR(Tabela_dados_base[[#This Row],[Clicks redes sociais]]/Tabela_dados_base[[#This Row],[Total de Clicks]],"")</f>
        <v>1</v>
      </c>
      <c r="P124" s="6">
        <f>Tabela_dados_base[[#This Row],[Total de Clicks]]/Tabela_dados_base[[#This Row],[Visualizações]]</f>
        <v>0.49342105263157893</v>
      </c>
      <c r="Q124" s="5">
        <f>Tabela_dados_base[[#This Row],[Vezes pesquisados]]/Tabela_dados_base[[#This Row],[Visualizações]]</f>
        <v>8.5526315789473686E-2</v>
      </c>
      <c r="R124" s="5">
        <f>Tabela_dados_base[[#This Row],[Visitas Diretas]]/Tabela_dados_base[[#This Row],[Visualizações]]</f>
        <v>0.18859649122807018</v>
      </c>
    </row>
    <row r="125" spans="1:18" x14ac:dyDescent="0.2">
      <c r="A125" t="s">
        <v>12</v>
      </c>
      <c r="B125" t="s">
        <v>13</v>
      </c>
      <c r="C125" t="s">
        <v>14</v>
      </c>
      <c r="D125">
        <v>1047</v>
      </c>
      <c r="E125" s="1">
        <v>44471</v>
      </c>
      <c r="F125" s="2">
        <v>75</v>
      </c>
      <c r="G125" s="2">
        <v>120</v>
      </c>
      <c r="H125" s="2">
        <v>0</v>
      </c>
      <c r="I125" s="2">
        <v>1513</v>
      </c>
      <c r="J125" s="2">
        <v>194</v>
      </c>
      <c r="K125" s="2">
        <v>34</v>
      </c>
      <c r="L125" s="2">
        <v>403</v>
      </c>
      <c r="M125" s="2">
        <f>Tabela_dados_base[[#This Row],[Clicks pagos]]+Tabela_dados_base[[#This Row],[Clicks redes sociais]]</f>
        <v>194</v>
      </c>
      <c r="N125" s="5">
        <f>IFERROR(Tabela_dados_base[[#This Row],[Clicks pagos]]/Tabela_dados_base[[#This Row],[Total de Clicks]],"")</f>
        <v>0</v>
      </c>
      <c r="O125" s="5">
        <f>IFERROR(Tabela_dados_base[[#This Row],[Clicks redes sociais]]/Tabela_dados_base[[#This Row],[Total de Clicks]],"")</f>
        <v>1</v>
      </c>
      <c r="P125" s="6">
        <f>Tabela_dados_base[[#This Row],[Total de Clicks]]/Tabela_dados_base[[#This Row],[Visualizações]]</f>
        <v>0.4813895781637717</v>
      </c>
      <c r="Q125" s="5">
        <f>Tabela_dados_base[[#This Row],[Vezes pesquisados]]/Tabela_dados_base[[#This Row],[Visualizações]]</f>
        <v>8.4367245657568243E-2</v>
      </c>
      <c r="R125" s="5">
        <f>Tabela_dados_base[[#This Row],[Visitas Diretas]]/Tabela_dados_base[[#This Row],[Visualizações]]</f>
        <v>0.18610421836228289</v>
      </c>
    </row>
    <row r="126" spans="1:18" x14ac:dyDescent="0.2">
      <c r="A126" t="s">
        <v>12</v>
      </c>
      <c r="B126" t="s">
        <v>13</v>
      </c>
      <c r="C126" t="s">
        <v>14</v>
      </c>
      <c r="D126">
        <v>1047</v>
      </c>
      <c r="E126" s="1">
        <v>44472</v>
      </c>
      <c r="F126" s="2">
        <v>238</v>
      </c>
      <c r="G126" s="2">
        <v>381</v>
      </c>
      <c r="H126" s="2">
        <v>0</v>
      </c>
      <c r="I126" s="2">
        <v>3236</v>
      </c>
      <c r="J126" s="2">
        <v>619</v>
      </c>
      <c r="K126" s="2">
        <v>107</v>
      </c>
      <c r="L126" s="2">
        <v>1192</v>
      </c>
      <c r="M126" s="2">
        <f>Tabela_dados_base[[#This Row],[Clicks pagos]]+Tabela_dados_base[[#This Row],[Clicks redes sociais]]</f>
        <v>619</v>
      </c>
      <c r="N126" s="5">
        <f>IFERROR(Tabela_dados_base[[#This Row],[Clicks pagos]]/Tabela_dados_base[[#This Row],[Total de Clicks]],"")</f>
        <v>0</v>
      </c>
      <c r="O126" s="5">
        <f>IFERROR(Tabela_dados_base[[#This Row],[Clicks redes sociais]]/Tabela_dados_base[[#This Row],[Total de Clicks]],"")</f>
        <v>1</v>
      </c>
      <c r="P126" s="6">
        <f>Tabela_dados_base[[#This Row],[Total de Clicks]]/Tabela_dados_base[[#This Row],[Visualizações]]</f>
        <v>0.51929530201342278</v>
      </c>
      <c r="Q126" s="5">
        <f>Tabela_dados_base[[#This Row],[Vezes pesquisados]]/Tabela_dados_base[[#This Row],[Visualizações]]</f>
        <v>8.9765100671140935E-2</v>
      </c>
      <c r="R126" s="5">
        <f>Tabela_dados_base[[#This Row],[Visitas Diretas]]/Tabela_dados_base[[#This Row],[Visualizações]]</f>
        <v>0.19966442953020133</v>
      </c>
    </row>
    <row r="127" spans="1:18" x14ac:dyDescent="0.2">
      <c r="A127" t="s">
        <v>12</v>
      </c>
      <c r="B127" t="s">
        <v>13</v>
      </c>
      <c r="C127" t="s">
        <v>14</v>
      </c>
      <c r="D127">
        <v>1047</v>
      </c>
      <c r="E127" s="1">
        <v>44473</v>
      </c>
      <c r="F127" s="2">
        <v>292</v>
      </c>
      <c r="G127" s="2">
        <v>467</v>
      </c>
      <c r="H127" s="2">
        <v>0</v>
      </c>
      <c r="I127" s="2">
        <v>3438</v>
      </c>
      <c r="J127" s="2">
        <v>759</v>
      </c>
      <c r="K127" s="2">
        <v>131</v>
      </c>
      <c r="L127" s="2">
        <v>1518</v>
      </c>
      <c r="M127" s="2">
        <f>Tabela_dados_base[[#This Row],[Clicks pagos]]+Tabela_dados_base[[#This Row],[Clicks redes sociais]]</f>
        <v>759</v>
      </c>
      <c r="N127" s="5">
        <f>IFERROR(Tabela_dados_base[[#This Row],[Clicks pagos]]/Tabela_dados_base[[#This Row],[Total de Clicks]],"")</f>
        <v>0</v>
      </c>
      <c r="O127" s="5">
        <f>IFERROR(Tabela_dados_base[[#This Row],[Clicks redes sociais]]/Tabela_dados_base[[#This Row],[Total de Clicks]],"")</f>
        <v>1</v>
      </c>
      <c r="P127" s="6">
        <f>Tabela_dados_base[[#This Row],[Total de Clicks]]/Tabela_dados_base[[#This Row],[Visualizações]]</f>
        <v>0.5</v>
      </c>
      <c r="Q127" s="5">
        <f>Tabela_dados_base[[#This Row],[Vezes pesquisados]]/Tabela_dados_base[[#This Row],[Visualizações]]</f>
        <v>8.6297760210803695E-2</v>
      </c>
      <c r="R127" s="5">
        <f>Tabela_dados_base[[#This Row],[Visitas Diretas]]/Tabela_dados_base[[#This Row],[Visualizações]]</f>
        <v>0.19235836627140976</v>
      </c>
    </row>
    <row r="128" spans="1:18" x14ac:dyDescent="0.2">
      <c r="A128" t="s">
        <v>12</v>
      </c>
      <c r="B128" t="s">
        <v>13</v>
      </c>
      <c r="C128" t="s">
        <v>14</v>
      </c>
      <c r="D128">
        <v>1047</v>
      </c>
      <c r="E128" s="1">
        <v>44474</v>
      </c>
      <c r="F128" s="2">
        <v>771</v>
      </c>
      <c r="G128" s="2">
        <v>1233</v>
      </c>
      <c r="H128" s="2">
        <v>0</v>
      </c>
      <c r="I128" s="2">
        <v>9385</v>
      </c>
      <c r="J128" s="2">
        <v>2004</v>
      </c>
      <c r="K128" s="2">
        <v>347</v>
      </c>
      <c r="L128" s="2">
        <v>3945</v>
      </c>
      <c r="M128" s="2">
        <f>Tabela_dados_base[[#This Row],[Clicks pagos]]+Tabela_dados_base[[#This Row],[Clicks redes sociais]]</f>
        <v>2004</v>
      </c>
      <c r="N128" s="5">
        <f>IFERROR(Tabela_dados_base[[#This Row],[Clicks pagos]]/Tabela_dados_base[[#This Row],[Total de Clicks]],"")</f>
        <v>0</v>
      </c>
      <c r="O128" s="5">
        <f>IFERROR(Tabela_dados_base[[#This Row],[Clicks redes sociais]]/Tabela_dados_base[[#This Row],[Total de Clicks]],"")</f>
        <v>1</v>
      </c>
      <c r="P128" s="6">
        <f>Tabela_dados_base[[#This Row],[Total de Clicks]]/Tabela_dados_base[[#This Row],[Visualizações]]</f>
        <v>0.50798479087452475</v>
      </c>
      <c r="Q128" s="5">
        <f>Tabela_dados_base[[#This Row],[Vezes pesquisados]]/Tabela_dados_base[[#This Row],[Visualizações]]</f>
        <v>8.7959442332065901E-2</v>
      </c>
      <c r="R128" s="5">
        <f>Tabela_dados_base[[#This Row],[Visitas Diretas]]/Tabela_dados_base[[#This Row],[Visualizações]]</f>
        <v>0.19543726235741446</v>
      </c>
    </row>
    <row r="129" spans="1:18" x14ac:dyDescent="0.2">
      <c r="A129" t="s">
        <v>12</v>
      </c>
      <c r="B129" t="s">
        <v>13</v>
      </c>
      <c r="C129" t="s">
        <v>14</v>
      </c>
      <c r="D129">
        <v>1047</v>
      </c>
      <c r="E129" s="1">
        <v>44475</v>
      </c>
      <c r="F129" s="2">
        <v>134</v>
      </c>
      <c r="G129" s="2">
        <v>215</v>
      </c>
      <c r="H129" s="2">
        <v>0</v>
      </c>
      <c r="I129" s="2">
        <v>889</v>
      </c>
      <c r="J129" s="2">
        <v>349</v>
      </c>
      <c r="K129" s="2">
        <v>60</v>
      </c>
      <c r="L129" s="2">
        <v>736</v>
      </c>
      <c r="M129" s="2">
        <f>Tabela_dados_base[[#This Row],[Clicks pagos]]+Tabela_dados_base[[#This Row],[Clicks redes sociais]]</f>
        <v>349</v>
      </c>
      <c r="N129" s="5">
        <f>IFERROR(Tabela_dados_base[[#This Row],[Clicks pagos]]/Tabela_dados_base[[#This Row],[Total de Clicks]],"")</f>
        <v>0</v>
      </c>
      <c r="O129" s="5">
        <f>IFERROR(Tabela_dados_base[[#This Row],[Clicks redes sociais]]/Tabela_dados_base[[#This Row],[Total de Clicks]],"")</f>
        <v>1</v>
      </c>
      <c r="P129" s="6">
        <f>Tabela_dados_base[[#This Row],[Total de Clicks]]/Tabela_dados_base[[#This Row],[Visualizações]]</f>
        <v>0.47418478260869568</v>
      </c>
      <c r="Q129" s="5">
        <f>Tabela_dados_base[[#This Row],[Vezes pesquisados]]/Tabela_dados_base[[#This Row],[Visualizações]]</f>
        <v>8.1521739130434784E-2</v>
      </c>
      <c r="R129" s="5">
        <f>Tabela_dados_base[[#This Row],[Visitas Diretas]]/Tabela_dados_base[[#This Row],[Visualizações]]</f>
        <v>0.18206521739130435</v>
      </c>
    </row>
    <row r="130" spans="1:18" x14ac:dyDescent="0.2">
      <c r="A130" t="s">
        <v>12</v>
      </c>
      <c r="B130" t="s">
        <v>13</v>
      </c>
      <c r="C130" t="s">
        <v>14</v>
      </c>
      <c r="D130">
        <v>1047</v>
      </c>
      <c r="E130" s="1">
        <v>44476</v>
      </c>
      <c r="F130" s="2">
        <v>185</v>
      </c>
      <c r="G130" s="2">
        <v>296</v>
      </c>
      <c r="H130" s="2">
        <v>0</v>
      </c>
      <c r="I130" s="2">
        <v>3250</v>
      </c>
      <c r="J130" s="2">
        <v>480</v>
      </c>
      <c r="K130" s="2">
        <v>83</v>
      </c>
      <c r="L130" s="2">
        <v>931</v>
      </c>
      <c r="M130" s="2">
        <f>Tabela_dados_base[[#This Row],[Clicks pagos]]+Tabela_dados_base[[#This Row],[Clicks redes sociais]]</f>
        <v>480</v>
      </c>
      <c r="N130" s="5">
        <f>IFERROR(Tabela_dados_base[[#This Row],[Clicks pagos]]/Tabela_dados_base[[#This Row],[Total de Clicks]],"")</f>
        <v>0</v>
      </c>
      <c r="O130" s="5">
        <f>IFERROR(Tabela_dados_base[[#This Row],[Clicks redes sociais]]/Tabela_dados_base[[#This Row],[Total de Clicks]],"")</f>
        <v>1</v>
      </c>
      <c r="P130" s="6">
        <f>Tabela_dados_base[[#This Row],[Total de Clicks]]/Tabela_dados_base[[#This Row],[Visualizações]]</f>
        <v>0.51557465091299681</v>
      </c>
      <c r="Q130" s="5">
        <f>Tabela_dados_base[[#This Row],[Vezes pesquisados]]/Tabela_dados_base[[#This Row],[Visualizações]]</f>
        <v>8.9151450053705686E-2</v>
      </c>
      <c r="R130" s="5">
        <f>Tabela_dados_base[[#This Row],[Visitas Diretas]]/Tabela_dados_base[[#This Row],[Visualizações]]</f>
        <v>0.19871106337271752</v>
      </c>
    </row>
    <row r="131" spans="1:18" x14ac:dyDescent="0.2">
      <c r="A131" t="s">
        <v>12</v>
      </c>
      <c r="B131" t="s">
        <v>13</v>
      </c>
      <c r="C131" t="s">
        <v>14</v>
      </c>
      <c r="D131">
        <v>1047</v>
      </c>
      <c r="E131" s="1">
        <v>44477</v>
      </c>
      <c r="F131" s="2">
        <v>175</v>
      </c>
      <c r="G131" s="2">
        <v>280</v>
      </c>
      <c r="H131" s="2">
        <v>0</v>
      </c>
      <c r="I131" s="2">
        <v>3772</v>
      </c>
      <c r="J131" s="2">
        <v>454</v>
      </c>
      <c r="K131" s="2">
        <v>79</v>
      </c>
      <c r="L131" s="2">
        <v>953</v>
      </c>
      <c r="M131" s="2">
        <f>Tabela_dados_base[[#This Row],[Clicks pagos]]+Tabela_dados_base[[#This Row],[Clicks redes sociais]]</f>
        <v>454</v>
      </c>
      <c r="N131" s="5">
        <f>IFERROR(Tabela_dados_base[[#This Row],[Clicks pagos]]/Tabela_dados_base[[#This Row],[Total de Clicks]],"")</f>
        <v>0</v>
      </c>
      <c r="O131" s="5">
        <f>IFERROR(Tabela_dados_base[[#This Row],[Clicks redes sociais]]/Tabela_dados_base[[#This Row],[Total de Clicks]],"")</f>
        <v>1</v>
      </c>
      <c r="P131" s="6">
        <f>Tabela_dados_base[[#This Row],[Total de Clicks]]/Tabela_dados_base[[#This Row],[Visualizações]]</f>
        <v>0.47639034627492133</v>
      </c>
      <c r="Q131" s="5">
        <f>Tabela_dados_base[[#This Row],[Vezes pesquisados]]/Tabela_dados_base[[#This Row],[Visualizações]]</f>
        <v>8.2896117523609647E-2</v>
      </c>
      <c r="R131" s="5">
        <f>Tabela_dados_base[[#This Row],[Visitas Diretas]]/Tabela_dados_base[[#This Row],[Visualizações]]</f>
        <v>0.18363064008394545</v>
      </c>
    </row>
    <row r="132" spans="1:18" x14ac:dyDescent="0.2">
      <c r="A132" t="s">
        <v>12</v>
      </c>
      <c r="B132" t="s">
        <v>13</v>
      </c>
      <c r="C132" t="s">
        <v>14</v>
      </c>
      <c r="D132">
        <v>1047</v>
      </c>
      <c r="E132" s="1">
        <v>44478</v>
      </c>
      <c r="F132" s="2">
        <v>406</v>
      </c>
      <c r="G132" s="2">
        <v>650</v>
      </c>
      <c r="H132" s="2">
        <v>0</v>
      </c>
      <c r="I132" s="2">
        <v>6417</v>
      </c>
      <c r="J132" s="2">
        <v>1056</v>
      </c>
      <c r="K132" s="2">
        <v>183</v>
      </c>
      <c r="L132" s="2">
        <v>2085</v>
      </c>
      <c r="M132" s="2">
        <f>Tabela_dados_base[[#This Row],[Clicks pagos]]+Tabela_dados_base[[#This Row],[Clicks redes sociais]]</f>
        <v>1056</v>
      </c>
      <c r="N132" s="5">
        <f>IFERROR(Tabela_dados_base[[#This Row],[Clicks pagos]]/Tabela_dados_base[[#This Row],[Total de Clicks]],"")</f>
        <v>0</v>
      </c>
      <c r="O132" s="5">
        <f>IFERROR(Tabela_dados_base[[#This Row],[Clicks redes sociais]]/Tabela_dados_base[[#This Row],[Total de Clicks]],"")</f>
        <v>1</v>
      </c>
      <c r="P132" s="6">
        <f>Tabela_dados_base[[#This Row],[Total de Clicks]]/Tabela_dados_base[[#This Row],[Visualizações]]</f>
        <v>0.5064748201438849</v>
      </c>
      <c r="Q132" s="5">
        <f>Tabela_dados_base[[#This Row],[Vezes pesquisados]]/Tabela_dados_base[[#This Row],[Visualizações]]</f>
        <v>8.7769784172661874E-2</v>
      </c>
      <c r="R132" s="5">
        <f>Tabela_dados_base[[#This Row],[Visitas Diretas]]/Tabela_dados_base[[#This Row],[Visualizações]]</f>
        <v>0.1947242206235012</v>
      </c>
    </row>
    <row r="133" spans="1:18" x14ac:dyDescent="0.2">
      <c r="A133" t="s">
        <v>12</v>
      </c>
      <c r="B133" t="s">
        <v>13</v>
      </c>
      <c r="C133" t="s">
        <v>14</v>
      </c>
      <c r="D133">
        <v>1047</v>
      </c>
      <c r="E133" s="1">
        <v>44479</v>
      </c>
      <c r="F133" s="2">
        <v>140</v>
      </c>
      <c r="G133" s="2">
        <v>224</v>
      </c>
      <c r="H133" s="2">
        <v>0</v>
      </c>
      <c r="I133" s="2">
        <v>1586</v>
      </c>
      <c r="J133" s="2">
        <v>364</v>
      </c>
      <c r="K133" s="2">
        <v>63</v>
      </c>
      <c r="L133" s="2">
        <v>792</v>
      </c>
      <c r="M133" s="2">
        <f>Tabela_dados_base[[#This Row],[Clicks pagos]]+Tabela_dados_base[[#This Row],[Clicks redes sociais]]</f>
        <v>364</v>
      </c>
      <c r="N133" s="5">
        <f>IFERROR(Tabela_dados_base[[#This Row],[Clicks pagos]]/Tabela_dados_base[[#This Row],[Total de Clicks]],"")</f>
        <v>0</v>
      </c>
      <c r="O133" s="5">
        <f>IFERROR(Tabela_dados_base[[#This Row],[Clicks redes sociais]]/Tabela_dados_base[[#This Row],[Total de Clicks]],"")</f>
        <v>1</v>
      </c>
      <c r="P133" s="6">
        <f>Tabela_dados_base[[#This Row],[Total de Clicks]]/Tabela_dados_base[[#This Row],[Visualizações]]</f>
        <v>0.45959595959595961</v>
      </c>
      <c r="Q133" s="5">
        <f>Tabela_dados_base[[#This Row],[Vezes pesquisados]]/Tabela_dados_base[[#This Row],[Visualizações]]</f>
        <v>7.9545454545454544E-2</v>
      </c>
      <c r="R133" s="5">
        <f>Tabela_dados_base[[#This Row],[Visitas Diretas]]/Tabela_dados_base[[#This Row],[Visualizações]]</f>
        <v>0.17676767676767677</v>
      </c>
    </row>
    <row r="134" spans="1:18" x14ac:dyDescent="0.2">
      <c r="A134" t="s">
        <v>12</v>
      </c>
      <c r="B134" t="s">
        <v>13</v>
      </c>
      <c r="C134" t="s">
        <v>14</v>
      </c>
      <c r="D134">
        <v>1047</v>
      </c>
      <c r="E134" s="1">
        <v>44480</v>
      </c>
      <c r="F134" s="2">
        <v>499</v>
      </c>
      <c r="G134" s="2">
        <v>798</v>
      </c>
      <c r="H134" s="2">
        <v>0</v>
      </c>
      <c r="I134" s="2">
        <v>9342</v>
      </c>
      <c r="J134" s="2">
        <v>1297</v>
      </c>
      <c r="K134" s="2">
        <v>224</v>
      </c>
      <c r="L134" s="2">
        <v>2537</v>
      </c>
      <c r="M134" s="2">
        <f>Tabela_dados_base[[#This Row],[Clicks pagos]]+Tabela_dados_base[[#This Row],[Clicks redes sociais]]</f>
        <v>1297</v>
      </c>
      <c r="N134" s="5">
        <f>IFERROR(Tabela_dados_base[[#This Row],[Clicks pagos]]/Tabela_dados_base[[#This Row],[Total de Clicks]],"")</f>
        <v>0</v>
      </c>
      <c r="O134" s="5">
        <f>IFERROR(Tabela_dados_base[[#This Row],[Clicks redes sociais]]/Tabela_dados_base[[#This Row],[Total de Clicks]],"")</f>
        <v>1</v>
      </c>
      <c r="P134" s="6">
        <f>Tabela_dados_base[[#This Row],[Total de Clicks]]/Tabela_dados_base[[#This Row],[Visualizações]]</f>
        <v>0.51123374063854943</v>
      </c>
      <c r="Q134" s="5">
        <f>Tabela_dados_base[[#This Row],[Vezes pesquisados]]/Tabela_dados_base[[#This Row],[Visualizações]]</f>
        <v>8.8293259755616874E-2</v>
      </c>
      <c r="R134" s="5">
        <f>Tabela_dados_base[[#This Row],[Visitas Diretas]]/Tabela_dados_base[[#This Row],[Visualizações]]</f>
        <v>0.19668900275916437</v>
      </c>
    </row>
    <row r="135" spans="1:18" x14ac:dyDescent="0.2">
      <c r="A135" t="s">
        <v>12</v>
      </c>
      <c r="B135" t="s">
        <v>13</v>
      </c>
      <c r="C135" t="s">
        <v>14</v>
      </c>
      <c r="D135">
        <v>1047</v>
      </c>
      <c r="E135" s="1">
        <v>44481</v>
      </c>
      <c r="F135" s="2">
        <v>842</v>
      </c>
      <c r="G135" s="2">
        <v>1348</v>
      </c>
      <c r="H135" s="2">
        <v>0</v>
      </c>
      <c r="I135" s="2">
        <v>7680</v>
      </c>
      <c r="J135" s="2">
        <v>2190</v>
      </c>
      <c r="K135" s="2">
        <v>379</v>
      </c>
      <c r="L135" s="2">
        <v>4307</v>
      </c>
      <c r="M135" s="2">
        <f>Tabela_dados_base[[#This Row],[Clicks pagos]]+Tabela_dados_base[[#This Row],[Clicks redes sociais]]</f>
        <v>2190</v>
      </c>
      <c r="N135" s="5">
        <f>IFERROR(Tabela_dados_base[[#This Row],[Clicks pagos]]/Tabela_dados_base[[#This Row],[Total de Clicks]],"")</f>
        <v>0</v>
      </c>
      <c r="O135" s="5">
        <f>IFERROR(Tabela_dados_base[[#This Row],[Clicks redes sociais]]/Tabela_dados_base[[#This Row],[Total de Clicks]],"")</f>
        <v>1</v>
      </c>
      <c r="P135" s="6">
        <f>Tabela_dados_base[[#This Row],[Total de Clicks]]/Tabela_dados_base[[#This Row],[Visualizações]]</f>
        <v>0.50847457627118642</v>
      </c>
      <c r="Q135" s="5">
        <f>Tabela_dados_base[[#This Row],[Vezes pesquisados]]/Tabela_dados_base[[#This Row],[Visualizações]]</f>
        <v>8.799628511725098E-2</v>
      </c>
      <c r="R135" s="5">
        <f>Tabela_dados_base[[#This Row],[Visitas Diretas]]/Tabela_dados_base[[#This Row],[Visualizações]]</f>
        <v>0.19549570466682145</v>
      </c>
    </row>
    <row r="136" spans="1:18" x14ac:dyDescent="0.2">
      <c r="A136" t="s">
        <v>12</v>
      </c>
      <c r="B136" t="s">
        <v>13</v>
      </c>
      <c r="C136" t="s">
        <v>14</v>
      </c>
      <c r="D136">
        <v>1047</v>
      </c>
      <c r="E136" s="1">
        <v>44482</v>
      </c>
      <c r="F136" s="2">
        <v>773</v>
      </c>
      <c r="G136" s="2">
        <v>1236</v>
      </c>
      <c r="H136" s="2">
        <v>0</v>
      </c>
      <c r="I136" s="2">
        <v>14930</v>
      </c>
      <c r="J136" s="2">
        <v>2009</v>
      </c>
      <c r="K136" s="2">
        <v>348</v>
      </c>
      <c r="L136" s="2">
        <v>3933</v>
      </c>
      <c r="M136" s="2">
        <f>Tabela_dados_base[[#This Row],[Clicks pagos]]+Tabela_dados_base[[#This Row],[Clicks redes sociais]]</f>
        <v>2009</v>
      </c>
      <c r="N136" s="5">
        <f>IFERROR(Tabela_dados_base[[#This Row],[Clicks pagos]]/Tabela_dados_base[[#This Row],[Total de Clicks]],"")</f>
        <v>0</v>
      </c>
      <c r="O136" s="5">
        <f>IFERROR(Tabela_dados_base[[#This Row],[Clicks redes sociais]]/Tabela_dados_base[[#This Row],[Total de Clicks]],"")</f>
        <v>1</v>
      </c>
      <c r="P136" s="6">
        <f>Tabela_dados_base[[#This Row],[Total de Clicks]]/Tabela_dados_base[[#This Row],[Visualizações]]</f>
        <v>0.51080600050851765</v>
      </c>
      <c r="Q136" s="5">
        <f>Tabela_dados_base[[#This Row],[Vezes pesquisados]]/Tabela_dados_base[[#This Row],[Visualizações]]</f>
        <v>8.8482074752097642E-2</v>
      </c>
      <c r="R136" s="5">
        <f>Tabela_dados_base[[#This Row],[Visitas Diretas]]/Tabela_dados_base[[#This Row],[Visualizações]]</f>
        <v>0.19654207983727434</v>
      </c>
    </row>
    <row r="137" spans="1:18" x14ac:dyDescent="0.2">
      <c r="A137" t="s">
        <v>12</v>
      </c>
      <c r="B137" t="s">
        <v>13</v>
      </c>
      <c r="C137" t="s">
        <v>14</v>
      </c>
      <c r="D137">
        <v>1047</v>
      </c>
      <c r="E137" s="1">
        <v>44483</v>
      </c>
      <c r="F137" s="2">
        <v>238</v>
      </c>
      <c r="G137" s="2">
        <v>380</v>
      </c>
      <c r="H137" s="2">
        <v>0</v>
      </c>
      <c r="I137" s="2">
        <v>4310</v>
      </c>
      <c r="J137" s="2">
        <v>618</v>
      </c>
      <c r="K137" s="2">
        <v>107</v>
      </c>
      <c r="L137" s="2">
        <v>1219</v>
      </c>
      <c r="M137" s="2">
        <f>Tabela_dados_base[[#This Row],[Clicks pagos]]+Tabela_dados_base[[#This Row],[Clicks redes sociais]]</f>
        <v>618</v>
      </c>
      <c r="N137" s="5">
        <f>IFERROR(Tabela_dados_base[[#This Row],[Clicks pagos]]/Tabela_dados_base[[#This Row],[Total de Clicks]],"")</f>
        <v>0</v>
      </c>
      <c r="O137" s="5">
        <f>IFERROR(Tabela_dados_base[[#This Row],[Clicks redes sociais]]/Tabela_dados_base[[#This Row],[Total de Clicks]],"")</f>
        <v>1</v>
      </c>
      <c r="P137" s="6">
        <f>Tabela_dados_base[[#This Row],[Total de Clicks]]/Tabela_dados_base[[#This Row],[Visualizações]]</f>
        <v>0.50697292863002463</v>
      </c>
      <c r="Q137" s="5">
        <f>Tabela_dados_base[[#This Row],[Vezes pesquisados]]/Tabela_dados_base[[#This Row],[Visualizações]]</f>
        <v>8.7776866283839211E-2</v>
      </c>
      <c r="R137" s="5">
        <f>Tabela_dados_base[[#This Row],[Visitas Diretas]]/Tabela_dados_base[[#This Row],[Visualizações]]</f>
        <v>0.19524200164068908</v>
      </c>
    </row>
    <row r="138" spans="1:18" x14ac:dyDescent="0.2">
      <c r="A138" t="s">
        <v>12</v>
      </c>
      <c r="B138" t="s">
        <v>13</v>
      </c>
      <c r="C138" t="s">
        <v>14</v>
      </c>
      <c r="D138">
        <v>1047</v>
      </c>
      <c r="E138" s="1">
        <v>44484</v>
      </c>
      <c r="F138" s="2">
        <v>243</v>
      </c>
      <c r="G138" s="2">
        <v>389</v>
      </c>
      <c r="H138" s="2">
        <v>0</v>
      </c>
      <c r="I138" s="2">
        <v>1673</v>
      </c>
      <c r="J138" s="2">
        <v>632</v>
      </c>
      <c r="K138" s="2">
        <v>109</v>
      </c>
      <c r="L138" s="2">
        <v>1284</v>
      </c>
      <c r="M138" s="2">
        <f>Tabela_dados_base[[#This Row],[Clicks pagos]]+Tabela_dados_base[[#This Row],[Clicks redes sociais]]</f>
        <v>632</v>
      </c>
      <c r="N138" s="5">
        <f>IFERROR(Tabela_dados_base[[#This Row],[Clicks pagos]]/Tabela_dados_base[[#This Row],[Total de Clicks]],"")</f>
        <v>0</v>
      </c>
      <c r="O138" s="5">
        <f>IFERROR(Tabela_dados_base[[#This Row],[Clicks redes sociais]]/Tabela_dados_base[[#This Row],[Total de Clicks]],"")</f>
        <v>1</v>
      </c>
      <c r="P138" s="6">
        <f>Tabela_dados_base[[#This Row],[Total de Clicks]]/Tabela_dados_base[[#This Row],[Visualizações]]</f>
        <v>0.49221183800623053</v>
      </c>
      <c r="Q138" s="5">
        <f>Tabela_dados_base[[#This Row],[Vezes pesquisados]]/Tabela_dados_base[[#This Row],[Visualizações]]</f>
        <v>8.4890965732087223E-2</v>
      </c>
      <c r="R138" s="5">
        <f>Tabela_dados_base[[#This Row],[Visitas Diretas]]/Tabela_dados_base[[#This Row],[Visualizações]]</f>
        <v>0.18925233644859812</v>
      </c>
    </row>
    <row r="139" spans="1:18" x14ac:dyDescent="0.2">
      <c r="A139" t="s">
        <v>12</v>
      </c>
      <c r="B139" t="s">
        <v>13</v>
      </c>
      <c r="C139" t="s">
        <v>14</v>
      </c>
      <c r="D139">
        <v>1047</v>
      </c>
      <c r="E139" s="1">
        <v>44485</v>
      </c>
      <c r="F139" s="2">
        <v>647</v>
      </c>
      <c r="G139" s="2">
        <v>1035</v>
      </c>
      <c r="H139" s="2">
        <v>0</v>
      </c>
      <c r="I139" s="2">
        <v>12837</v>
      </c>
      <c r="J139" s="2">
        <v>1682</v>
      </c>
      <c r="K139" s="2">
        <v>291</v>
      </c>
      <c r="L139" s="2">
        <v>3329</v>
      </c>
      <c r="M139" s="2">
        <f>Tabela_dados_base[[#This Row],[Clicks pagos]]+Tabela_dados_base[[#This Row],[Clicks redes sociais]]</f>
        <v>1682</v>
      </c>
      <c r="N139" s="5">
        <f>IFERROR(Tabela_dados_base[[#This Row],[Clicks pagos]]/Tabela_dados_base[[#This Row],[Total de Clicks]],"")</f>
        <v>0</v>
      </c>
      <c r="O139" s="5">
        <f>IFERROR(Tabela_dados_base[[#This Row],[Clicks redes sociais]]/Tabela_dados_base[[#This Row],[Total de Clicks]],"")</f>
        <v>1</v>
      </c>
      <c r="P139" s="6">
        <f>Tabela_dados_base[[#This Row],[Total de Clicks]]/Tabela_dados_base[[#This Row],[Visualizações]]</f>
        <v>0.50525683388404929</v>
      </c>
      <c r="Q139" s="5">
        <f>Tabela_dados_base[[#This Row],[Vezes pesquisados]]/Tabela_dados_base[[#This Row],[Visualizações]]</f>
        <v>8.7413637729047769E-2</v>
      </c>
      <c r="R139" s="5">
        <f>Tabela_dados_base[[#This Row],[Visitas Diretas]]/Tabela_dados_base[[#This Row],[Visualizações]]</f>
        <v>0.19435265845599278</v>
      </c>
    </row>
    <row r="140" spans="1:18" x14ac:dyDescent="0.2">
      <c r="A140" t="s">
        <v>12</v>
      </c>
      <c r="B140" t="s">
        <v>13</v>
      </c>
      <c r="C140" t="s">
        <v>14</v>
      </c>
      <c r="D140">
        <v>1047</v>
      </c>
      <c r="E140" s="1">
        <v>44486</v>
      </c>
      <c r="F140" s="2">
        <v>425</v>
      </c>
      <c r="G140" s="2">
        <v>680</v>
      </c>
      <c r="H140" s="2">
        <v>0</v>
      </c>
      <c r="I140" s="2">
        <v>7287</v>
      </c>
      <c r="J140" s="2">
        <v>1104</v>
      </c>
      <c r="K140" s="2">
        <v>191</v>
      </c>
      <c r="L140" s="2">
        <v>2154</v>
      </c>
      <c r="M140" s="2">
        <f>Tabela_dados_base[[#This Row],[Clicks pagos]]+Tabela_dados_base[[#This Row],[Clicks redes sociais]]</f>
        <v>1104</v>
      </c>
      <c r="N140" s="5">
        <f>IFERROR(Tabela_dados_base[[#This Row],[Clicks pagos]]/Tabela_dados_base[[#This Row],[Total de Clicks]],"")</f>
        <v>0</v>
      </c>
      <c r="O140" s="5">
        <f>IFERROR(Tabela_dados_base[[#This Row],[Clicks redes sociais]]/Tabela_dados_base[[#This Row],[Total de Clicks]],"")</f>
        <v>1</v>
      </c>
      <c r="P140" s="6">
        <f>Tabela_dados_base[[#This Row],[Total de Clicks]]/Tabela_dados_base[[#This Row],[Visualizações]]</f>
        <v>0.51253481894150421</v>
      </c>
      <c r="Q140" s="5">
        <f>Tabela_dados_base[[#This Row],[Vezes pesquisados]]/Tabela_dados_base[[#This Row],[Visualizações]]</f>
        <v>8.8672237697307338E-2</v>
      </c>
      <c r="R140" s="5">
        <f>Tabela_dados_base[[#This Row],[Visitas Diretas]]/Tabela_dados_base[[#This Row],[Visualizações]]</f>
        <v>0.19730733519034355</v>
      </c>
    </row>
    <row r="141" spans="1:18" x14ac:dyDescent="0.2">
      <c r="A141" t="s">
        <v>12</v>
      </c>
      <c r="B141" t="s">
        <v>13</v>
      </c>
      <c r="C141" t="s">
        <v>14</v>
      </c>
      <c r="D141">
        <v>1047</v>
      </c>
      <c r="E141" s="1">
        <v>44487</v>
      </c>
      <c r="F141" s="2">
        <v>1066</v>
      </c>
      <c r="G141" s="2">
        <v>1706</v>
      </c>
      <c r="H141" s="2">
        <v>0</v>
      </c>
      <c r="I141" s="2">
        <v>6103</v>
      </c>
      <c r="J141" s="2">
        <v>2772</v>
      </c>
      <c r="K141" s="2">
        <v>480</v>
      </c>
      <c r="L141" s="2">
        <v>5395</v>
      </c>
      <c r="M141" s="2">
        <f>Tabela_dados_base[[#This Row],[Clicks pagos]]+Tabela_dados_base[[#This Row],[Clicks redes sociais]]</f>
        <v>2772</v>
      </c>
      <c r="N141" s="5">
        <f>IFERROR(Tabela_dados_base[[#This Row],[Clicks pagos]]/Tabela_dados_base[[#This Row],[Total de Clicks]],"")</f>
        <v>0</v>
      </c>
      <c r="O141" s="5">
        <f>IFERROR(Tabela_dados_base[[#This Row],[Clicks redes sociais]]/Tabela_dados_base[[#This Row],[Total de Clicks]],"")</f>
        <v>1</v>
      </c>
      <c r="P141" s="6">
        <f>Tabela_dados_base[[#This Row],[Total de Clicks]]/Tabela_dados_base[[#This Row],[Visualizações]]</f>
        <v>0.51380908248378132</v>
      </c>
      <c r="Q141" s="5">
        <f>Tabela_dados_base[[#This Row],[Vezes pesquisados]]/Tabela_dados_base[[#This Row],[Visualizações]]</f>
        <v>8.8971269694161262E-2</v>
      </c>
      <c r="R141" s="5">
        <f>Tabela_dados_base[[#This Row],[Visitas Diretas]]/Tabela_dados_base[[#This Row],[Visualizações]]</f>
        <v>0.19759036144578312</v>
      </c>
    </row>
    <row r="142" spans="1:18" x14ac:dyDescent="0.2">
      <c r="A142" t="s">
        <v>12</v>
      </c>
      <c r="B142" t="s">
        <v>13</v>
      </c>
      <c r="C142" t="s">
        <v>14</v>
      </c>
      <c r="D142">
        <v>1047</v>
      </c>
      <c r="E142" s="1">
        <v>44488</v>
      </c>
      <c r="F142" s="2">
        <v>166</v>
      </c>
      <c r="G142" s="2">
        <v>266</v>
      </c>
      <c r="H142" s="2">
        <v>0</v>
      </c>
      <c r="I142" s="2">
        <v>1590</v>
      </c>
      <c r="J142" s="2">
        <v>433</v>
      </c>
      <c r="K142" s="2">
        <v>75</v>
      </c>
      <c r="L142" s="2">
        <v>898</v>
      </c>
      <c r="M142" s="2">
        <f>Tabela_dados_base[[#This Row],[Clicks pagos]]+Tabela_dados_base[[#This Row],[Clicks redes sociais]]</f>
        <v>433</v>
      </c>
      <c r="N142" s="5">
        <f>IFERROR(Tabela_dados_base[[#This Row],[Clicks pagos]]/Tabela_dados_base[[#This Row],[Total de Clicks]],"")</f>
        <v>0</v>
      </c>
      <c r="O142" s="5">
        <f>IFERROR(Tabela_dados_base[[#This Row],[Clicks redes sociais]]/Tabela_dados_base[[#This Row],[Total de Clicks]],"")</f>
        <v>1</v>
      </c>
      <c r="P142" s="6">
        <f>Tabela_dados_base[[#This Row],[Total de Clicks]]/Tabela_dados_base[[#This Row],[Visualizações]]</f>
        <v>0.48218262806236079</v>
      </c>
      <c r="Q142" s="5">
        <f>Tabela_dados_base[[#This Row],[Vezes pesquisados]]/Tabela_dados_base[[#This Row],[Visualizações]]</f>
        <v>8.3518930957683743E-2</v>
      </c>
      <c r="R142" s="5">
        <f>Tabela_dados_base[[#This Row],[Visitas Diretas]]/Tabela_dados_base[[#This Row],[Visualizações]]</f>
        <v>0.18485523385300667</v>
      </c>
    </row>
    <row r="143" spans="1:18" x14ac:dyDescent="0.2">
      <c r="A143" t="s">
        <v>12</v>
      </c>
      <c r="B143" t="s">
        <v>13</v>
      </c>
      <c r="C143" t="s">
        <v>14</v>
      </c>
      <c r="D143">
        <v>1047</v>
      </c>
      <c r="E143" s="1">
        <v>44489</v>
      </c>
      <c r="F143" s="2">
        <v>101</v>
      </c>
      <c r="G143" s="2">
        <v>161</v>
      </c>
      <c r="H143" s="2">
        <v>0</v>
      </c>
      <c r="I143" s="2">
        <v>1421</v>
      </c>
      <c r="J143" s="2">
        <v>262</v>
      </c>
      <c r="K143" s="2">
        <v>45</v>
      </c>
      <c r="L143" s="2">
        <v>586</v>
      </c>
      <c r="M143" s="2">
        <f>Tabela_dados_base[[#This Row],[Clicks pagos]]+Tabela_dados_base[[#This Row],[Clicks redes sociais]]</f>
        <v>262</v>
      </c>
      <c r="N143" s="5">
        <f>IFERROR(Tabela_dados_base[[#This Row],[Clicks pagos]]/Tabela_dados_base[[#This Row],[Total de Clicks]],"")</f>
        <v>0</v>
      </c>
      <c r="O143" s="5">
        <f>IFERROR(Tabela_dados_base[[#This Row],[Clicks redes sociais]]/Tabela_dados_base[[#This Row],[Total de Clicks]],"")</f>
        <v>1</v>
      </c>
      <c r="P143" s="6">
        <f>Tabela_dados_base[[#This Row],[Total de Clicks]]/Tabela_dados_base[[#This Row],[Visualizações]]</f>
        <v>0.44709897610921501</v>
      </c>
      <c r="Q143" s="5">
        <f>Tabela_dados_base[[#This Row],[Vezes pesquisados]]/Tabela_dados_base[[#This Row],[Visualizações]]</f>
        <v>7.6791808873720141E-2</v>
      </c>
      <c r="R143" s="5">
        <f>Tabela_dados_base[[#This Row],[Visitas Diretas]]/Tabela_dados_base[[#This Row],[Visualizações]]</f>
        <v>0.17235494880546076</v>
      </c>
    </row>
    <row r="144" spans="1:18" x14ac:dyDescent="0.2">
      <c r="A144" t="s">
        <v>12</v>
      </c>
      <c r="B144" t="s">
        <v>13</v>
      </c>
      <c r="C144" t="s">
        <v>14</v>
      </c>
      <c r="D144">
        <v>1047</v>
      </c>
      <c r="E144" s="1">
        <v>44490</v>
      </c>
      <c r="F144" s="2">
        <v>194</v>
      </c>
      <c r="G144" s="2">
        <v>310</v>
      </c>
      <c r="H144" s="2">
        <v>0</v>
      </c>
      <c r="I144" s="2">
        <v>3429</v>
      </c>
      <c r="J144" s="2">
        <v>503</v>
      </c>
      <c r="K144" s="2">
        <v>87</v>
      </c>
      <c r="L144" s="2">
        <v>972</v>
      </c>
      <c r="M144" s="2">
        <f>Tabela_dados_base[[#This Row],[Clicks pagos]]+Tabela_dados_base[[#This Row],[Clicks redes sociais]]</f>
        <v>503</v>
      </c>
      <c r="N144" s="5">
        <f>IFERROR(Tabela_dados_base[[#This Row],[Clicks pagos]]/Tabela_dados_base[[#This Row],[Total de Clicks]],"")</f>
        <v>0</v>
      </c>
      <c r="O144" s="5">
        <f>IFERROR(Tabela_dados_base[[#This Row],[Clicks redes sociais]]/Tabela_dados_base[[#This Row],[Total de Clicks]],"")</f>
        <v>1</v>
      </c>
      <c r="P144" s="6">
        <f>Tabela_dados_base[[#This Row],[Total de Clicks]]/Tabela_dados_base[[#This Row],[Visualizações]]</f>
        <v>0.51748971193415638</v>
      </c>
      <c r="Q144" s="5">
        <f>Tabela_dados_base[[#This Row],[Vezes pesquisados]]/Tabela_dados_base[[#This Row],[Visualizações]]</f>
        <v>8.9506172839506168E-2</v>
      </c>
      <c r="R144" s="5">
        <f>Tabela_dados_base[[#This Row],[Visitas Diretas]]/Tabela_dados_base[[#This Row],[Visualizações]]</f>
        <v>0.19958847736625515</v>
      </c>
    </row>
    <row r="145" spans="1:18" x14ac:dyDescent="0.2">
      <c r="A145" t="s">
        <v>12</v>
      </c>
      <c r="B145" t="s">
        <v>13</v>
      </c>
      <c r="C145" t="s">
        <v>14</v>
      </c>
      <c r="D145">
        <v>1047</v>
      </c>
      <c r="E145" s="1">
        <v>44491</v>
      </c>
      <c r="F145" s="2">
        <v>551</v>
      </c>
      <c r="G145" s="2">
        <v>881</v>
      </c>
      <c r="H145" s="2">
        <v>0</v>
      </c>
      <c r="I145" s="2">
        <v>8218</v>
      </c>
      <c r="J145" s="2">
        <v>1432</v>
      </c>
      <c r="K145" s="2">
        <v>248</v>
      </c>
      <c r="L145" s="2">
        <v>2785</v>
      </c>
      <c r="M145" s="2">
        <f>Tabela_dados_base[[#This Row],[Clicks pagos]]+Tabela_dados_base[[#This Row],[Clicks redes sociais]]</f>
        <v>1432</v>
      </c>
      <c r="N145" s="5">
        <f>IFERROR(Tabela_dados_base[[#This Row],[Clicks pagos]]/Tabela_dados_base[[#This Row],[Total de Clicks]],"")</f>
        <v>0</v>
      </c>
      <c r="O145" s="5">
        <f>IFERROR(Tabela_dados_base[[#This Row],[Clicks redes sociais]]/Tabela_dados_base[[#This Row],[Total de Clicks]],"")</f>
        <v>1</v>
      </c>
      <c r="P145" s="6">
        <f>Tabela_dados_base[[#This Row],[Total de Clicks]]/Tabela_dados_base[[#This Row],[Visualizações]]</f>
        <v>0.51418312387791743</v>
      </c>
      <c r="Q145" s="5">
        <f>Tabela_dados_base[[#This Row],[Vezes pesquisados]]/Tabela_dados_base[[#This Row],[Visualizações]]</f>
        <v>8.9048473967684019E-2</v>
      </c>
      <c r="R145" s="5">
        <f>Tabela_dados_base[[#This Row],[Visitas Diretas]]/Tabela_dados_base[[#This Row],[Visualizações]]</f>
        <v>0.1978456014362657</v>
      </c>
    </row>
    <row r="146" spans="1:18" x14ac:dyDescent="0.2">
      <c r="A146" t="s">
        <v>12</v>
      </c>
      <c r="B146" t="s">
        <v>13</v>
      </c>
      <c r="C146" t="s">
        <v>14</v>
      </c>
      <c r="D146">
        <v>1047</v>
      </c>
      <c r="E146" s="1">
        <v>44492</v>
      </c>
      <c r="F146" s="2">
        <v>707</v>
      </c>
      <c r="G146" s="2">
        <v>1131</v>
      </c>
      <c r="H146" s="2">
        <v>0</v>
      </c>
      <c r="I146" s="2">
        <v>4986</v>
      </c>
      <c r="J146" s="2">
        <v>1838</v>
      </c>
      <c r="K146" s="2">
        <v>318</v>
      </c>
      <c r="L146" s="2">
        <v>3604</v>
      </c>
      <c r="M146" s="2">
        <f>Tabela_dados_base[[#This Row],[Clicks pagos]]+Tabela_dados_base[[#This Row],[Clicks redes sociais]]</f>
        <v>1838</v>
      </c>
      <c r="N146" s="5">
        <f>IFERROR(Tabela_dados_base[[#This Row],[Clicks pagos]]/Tabela_dados_base[[#This Row],[Total de Clicks]],"")</f>
        <v>0</v>
      </c>
      <c r="O146" s="5">
        <f>IFERROR(Tabela_dados_base[[#This Row],[Clicks redes sociais]]/Tabela_dados_base[[#This Row],[Total de Clicks]],"")</f>
        <v>1</v>
      </c>
      <c r="P146" s="6">
        <f>Tabela_dados_base[[#This Row],[Total de Clicks]]/Tabela_dados_base[[#This Row],[Visualizações]]</f>
        <v>0.50998890122086571</v>
      </c>
      <c r="Q146" s="5">
        <f>Tabela_dados_base[[#This Row],[Vezes pesquisados]]/Tabela_dados_base[[#This Row],[Visualizações]]</f>
        <v>8.8235294117647065E-2</v>
      </c>
      <c r="R146" s="5">
        <f>Tabela_dados_base[[#This Row],[Visitas Diretas]]/Tabela_dados_base[[#This Row],[Visualizações]]</f>
        <v>0.19617092119866814</v>
      </c>
    </row>
    <row r="147" spans="1:18" x14ac:dyDescent="0.2">
      <c r="A147" t="s">
        <v>12</v>
      </c>
      <c r="B147" t="s">
        <v>13</v>
      </c>
      <c r="C147" t="s">
        <v>14</v>
      </c>
      <c r="D147">
        <v>1047</v>
      </c>
      <c r="E147" s="1">
        <v>44493</v>
      </c>
      <c r="F147" s="2">
        <v>518</v>
      </c>
      <c r="G147" s="2">
        <v>829</v>
      </c>
      <c r="H147" s="2">
        <v>0</v>
      </c>
      <c r="I147" s="2">
        <v>7551</v>
      </c>
      <c r="J147" s="2">
        <v>1348</v>
      </c>
      <c r="K147" s="2">
        <v>233</v>
      </c>
      <c r="L147" s="2">
        <v>2677</v>
      </c>
      <c r="M147" s="2">
        <f>Tabela_dados_base[[#This Row],[Clicks pagos]]+Tabela_dados_base[[#This Row],[Clicks redes sociais]]</f>
        <v>1348</v>
      </c>
      <c r="N147" s="5">
        <f>IFERROR(Tabela_dados_base[[#This Row],[Clicks pagos]]/Tabela_dados_base[[#This Row],[Total de Clicks]],"")</f>
        <v>0</v>
      </c>
      <c r="O147" s="5">
        <f>IFERROR(Tabela_dados_base[[#This Row],[Clicks redes sociais]]/Tabela_dados_base[[#This Row],[Total de Clicks]],"")</f>
        <v>1</v>
      </c>
      <c r="P147" s="6">
        <f>Tabela_dados_base[[#This Row],[Total de Clicks]]/Tabela_dados_base[[#This Row],[Visualizações]]</f>
        <v>0.5035487485991782</v>
      </c>
      <c r="Q147" s="5">
        <f>Tabela_dados_base[[#This Row],[Vezes pesquisados]]/Tabela_dados_base[[#This Row],[Visualizações]]</f>
        <v>8.7037728800896524E-2</v>
      </c>
      <c r="R147" s="5">
        <f>Tabela_dados_base[[#This Row],[Visitas Diretas]]/Tabela_dados_base[[#This Row],[Visualizações]]</f>
        <v>0.19350018677624206</v>
      </c>
    </row>
    <row r="148" spans="1:18" x14ac:dyDescent="0.2">
      <c r="A148" t="s">
        <v>12</v>
      </c>
      <c r="B148" t="s">
        <v>13</v>
      </c>
      <c r="C148" t="s">
        <v>14</v>
      </c>
      <c r="D148">
        <v>1047</v>
      </c>
      <c r="E148" s="1">
        <v>44494</v>
      </c>
      <c r="F148" s="2">
        <v>640</v>
      </c>
      <c r="G148" s="2">
        <v>1024</v>
      </c>
      <c r="H148" s="2">
        <v>0</v>
      </c>
      <c r="I148" s="2">
        <v>11594</v>
      </c>
      <c r="J148" s="2">
        <v>1664</v>
      </c>
      <c r="K148" s="2">
        <v>288</v>
      </c>
      <c r="L148" s="2">
        <v>3202</v>
      </c>
      <c r="M148" s="2">
        <f>Tabela_dados_base[[#This Row],[Clicks pagos]]+Tabela_dados_base[[#This Row],[Clicks redes sociais]]</f>
        <v>1664</v>
      </c>
      <c r="N148" s="5">
        <f>IFERROR(Tabela_dados_base[[#This Row],[Clicks pagos]]/Tabela_dados_base[[#This Row],[Total de Clicks]],"")</f>
        <v>0</v>
      </c>
      <c r="O148" s="5">
        <f>IFERROR(Tabela_dados_base[[#This Row],[Clicks redes sociais]]/Tabela_dados_base[[#This Row],[Total de Clicks]],"")</f>
        <v>1</v>
      </c>
      <c r="P148" s="6">
        <f>Tabela_dados_base[[#This Row],[Total de Clicks]]/Tabela_dados_base[[#This Row],[Visualizações]]</f>
        <v>0.5196752029981262</v>
      </c>
      <c r="Q148" s="5">
        <f>Tabela_dados_base[[#This Row],[Vezes pesquisados]]/Tabela_dados_base[[#This Row],[Visualizações]]</f>
        <v>8.9943785134291063E-2</v>
      </c>
      <c r="R148" s="5">
        <f>Tabela_dados_base[[#This Row],[Visitas Diretas]]/Tabela_dados_base[[#This Row],[Visualizações]]</f>
        <v>0.19987507807620236</v>
      </c>
    </row>
    <row r="149" spans="1:18" x14ac:dyDescent="0.2">
      <c r="A149" t="s">
        <v>12</v>
      </c>
      <c r="B149" t="s">
        <v>13</v>
      </c>
      <c r="C149" t="s">
        <v>14</v>
      </c>
      <c r="D149">
        <v>1047</v>
      </c>
      <c r="E149" s="1">
        <v>44495</v>
      </c>
      <c r="F149" s="2">
        <v>312</v>
      </c>
      <c r="G149" s="2">
        <v>499</v>
      </c>
      <c r="H149" s="2">
        <v>0</v>
      </c>
      <c r="I149" s="2">
        <v>2592</v>
      </c>
      <c r="J149" s="2">
        <v>810</v>
      </c>
      <c r="K149" s="2">
        <v>140</v>
      </c>
      <c r="L149" s="2">
        <v>1587</v>
      </c>
      <c r="M149" s="2">
        <f>Tabela_dados_base[[#This Row],[Clicks pagos]]+Tabela_dados_base[[#This Row],[Clicks redes sociais]]</f>
        <v>810</v>
      </c>
      <c r="N149" s="5">
        <f>IFERROR(Tabela_dados_base[[#This Row],[Clicks pagos]]/Tabela_dados_base[[#This Row],[Total de Clicks]],"")</f>
        <v>0</v>
      </c>
      <c r="O149" s="5">
        <f>IFERROR(Tabela_dados_base[[#This Row],[Clicks redes sociais]]/Tabela_dados_base[[#This Row],[Total de Clicks]],"")</f>
        <v>1</v>
      </c>
      <c r="P149" s="6">
        <f>Tabela_dados_base[[#This Row],[Total de Clicks]]/Tabela_dados_base[[#This Row],[Visualizações]]</f>
        <v>0.5103969754253308</v>
      </c>
      <c r="Q149" s="5">
        <f>Tabela_dados_base[[#This Row],[Vezes pesquisados]]/Tabela_dados_base[[#This Row],[Visualizações]]</f>
        <v>8.8216761184625084E-2</v>
      </c>
      <c r="R149" s="5">
        <f>Tabela_dados_base[[#This Row],[Visitas Diretas]]/Tabela_dados_base[[#This Row],[Visualizações]]</f>
        <v>0.19659735349716445</v>
      </c>
    </row>
    <row r="150" spans="1:18" x14ac:dyDescent="0.2">
      <c r="A150" t="s">
        <v>12</v>
      </c>
      <c r="B150" t="s">
        <v>13</v>
      </c>
      <c r="C150" t="s">
        <v>14</v>
      </c>
      <c r="D150">
        <v>1047</v>
      </c>
      <c r="E150" s="1">
        <v>44496</v>
      </c>
      <c r="F150" s="2">
        <v>29</v>
      </c>
      <c r="G150" s="2">
        <v>47</v>
      </c>
      <c r="H150" s="2">
        <v>0</v>
      </c>
      <c r="I150" s="2">
        <v>647</v>
      </c>
      <c r="J150" s="2">
        <v>76</v>
      </c>
      <c r="K150" s="2">
        <v>13</v>
      </c>
      <c r="L150" s="2">
        <v>208</v>
      </c>
      <c r="M150" s="2">
        <f>Tabela_dados_base[[#This Row],[Clicks pagos]]+Tabela_dados_base[[#This Row],[Clicks redes sociais]]</f>
        <v>76</v>
      </c>
      <c r="N150" s="5">
        <f>IFERROR(Tabela_dados_base[[#This Row],[Clicks pagos]]/Tabela_dados_base[[#This Row],[Total de Clicks]],"")</f>
        <v>0</v>
      </c>
      <c r="O150" s="5">
        <f>IFERROR(Tabela_dados_base[[#This Row],[Clicks redes sociais]]/Tabela_dados_base[[#This Row],[Total de Clicks]],"")</f>
        <v>1</v>
      </c>
      <c r="P150" s="6">
        <f>Tabela_dados_base[[#This Row],[Total de Clicks]]/Tabela_dados_base[[#This Row],[Visualizações]]</f>
        <v>0.36538461538461536</v>
      </c>
      <c r="Q150" s="5">
        <f>Tabela_dados_base[[#This Row],[Vezes pesquisados]]/Tabela_dados_base[[#This Row],[Visualizações]]</f>
        <v>6.25E-2</v>
      </c>
      <c r="R150" s="5">
        <f>Tabela_dados_base[[#This Row],[Visitas Diretas]]/Tabela_dados_base[[#This Row],[Visualizações]]</f>
        <v>0.13942307692307693</v>
      </c>
    </row>
    <row r="151" spans="1:18" x14ac:dyDescent="0.2">
      <c r="A151" t="s">
        <v>12</v>
      </c>
      <c r="B151" t="s">
        <v>13</v>
      </c>
      <c r="C151" t="s">
        <v>14</v>
      </c>
      <c r="D151">
        <v>1047</v>
      </c>
      <c r="E151" s="1">
        <v>44497</v>
      </c>
      <c r="F151" s="2">
        <v>232</v>
      </c>
      <c r="G151" s="2">
        <v>371</v>
      </c>
      <c r="H151" s="2">
        <v>0</v>
      </c>
      <c r="I151" s="2">
        <v>2775</v>
      </c>
      <c r="J151" s="2">
        <v>603</v>
      </c>
      <c r="K151" s="2">
        <v>104</v>
      </c>
      <c r="L151" s="2">
        <v>1168</v>
      </c>
      <c r="M151" s="2">
        <f>Tabela_dados_base[[#This Row],[Clicks pagos]]+Tabela_dados_base[[#This Row],[Clicks redes sociais]]</f>
        <v>603</v>
      </c>
      <c r="N151" s="5">
        <f>IFERROR(Tabela_dados_base[[#This Row],[Clicks pagos]]/Tabela_dados_base[[#This Row],[Total de Clicks]],"")</f>
        <v>0</v>
      </c>
      <c r="O151" s="5">
        <f>IFERROR(Tabela_dados_base[[#This Row],[Clicks redes sociais]]/Tabela_dados_base[[#This Row],[Total de Clicks]],"")</f>
        <v>1</v>
      </c>
      <c r="P151" s="6">
        <f>Tabela_dados_base[[#This Row],[Total de Clicks]]/Tabela_dados_base[[#This Row],[Visualizações]]</f>
        <v>0.51626712328767121</v>
      </c>
      <c r="Q151" s="5">
        <f>Tabela_dados_base[[#This Row],[Vezes pesquisados]]/Tabela_dados_base[[#This Row],[Visualizações]]</f>
        <v>8.9041095890410954E-2</v>
      </c>
      <c r="R151" s="5">
        <f>Tabela_dados_base[[#This Row],[Visitas Diretas]]/Tabela_dados_base[[#This Row],[Visualizações]]</f>
        <v>0.19863013698630136</v>
      </c>
    </row>
    <row r="152" spans="1:18" x14ac:dyDescent="0.2">
      <c r="A152" t="s">
        <v>12</v>
      </c>
      <c r="B152" t="s">
        <v>13</v>
      </c>
      <c r="C152" t="s">
        <v>14</v>
      </c>
      <c r="D152">
        <v>1047</v>
      </c>
      <c r="E152" s="1">
        <v>44498</v>
      </c>
      <c r="F152" s="2">
        <v>60</v>
      </c>
      <c r="G152" s="2">
        <v>96</v>
      </c>
      <c r="H152" s="2">
        <v>0</v>
      </c>
      <c r="I152" s="2">
        <v>1154</v>
      </c>
      <c r="J152" s="2">
        <v>156</v>
      </c>
      <c r="K152" s="2">
        <v>27</v>
      </c>
      <c r="L152" s="2">
        <v>383</v>
      </c>
      <c r="M152" s="2">
        <f>Tabela_dados_base[[#This Row],[Clicks pagos]]+Tabela_dados_base[[#This Row],[Clicks redes sociais]]</f>
        <v>156</v>
      </c>
      <c r="N152" s="5">
        <f>IFERROR(Tabela_dados_base[[#This Row],[Clicks pagos]]/Tabela_dados_base[[#This Row],[Total de Clicks]],"")</f>
        <v>0</v>
      </c>
      <c r="O152" s="5">
        <f>IFERROR(Tabela_dados_base[[#This Row],[Clicks redes sociais]]/Tabela_dados_base[[#This Row],[Total de Clicks]],"")</f>
        <v>1</v>
      </c>
      <c r="P152" s="6">
        <f>Tabela_dados_base[[#This Row],[Total de Clicks]]/Tabela_dados_base[[#This Row],[Visualizações]]</f>
        <v>0.40731070496083549</v>
      </c>
      <c r="Q152" s="5">
        <f>Tabela_dados_base[[#This Row],[Vezes pesquisados]]/Tabela_dados_base[[#This Row],[Visualizações]]</f>
        <v>7.0496083550913843E-2</v>
      </c>
      <c r="R152" s="5">
        <f>Tabela_dados_base[[#This Row],[Visitas Diretas]]/Tabela_dados_base[[#This Row],[Visualizações]]</f>
        <v>0.1566579634464752</v>
      </c>
    </row>
    <row r="153" spans="1:18" x14ac:dyDescent="0.2">
      <c r="A153" t="s">
        <v>12</v>
      </c>
      <c r="B153" t="s">
        <v>13</v>
      </c>
      <c r="C153" t="s">
        <v>14</v>
      </c>
      <c r="D153">
        <v>1047</v>
      </c>
      <c r="E153" s="1">
        <v>44499</v>
      </c>
      <c r="F153" s="2">
        <v>101</v>
      </c>
      <c r="G153" s="2">
        <v>162</v>
      </c>
      <c r="H153" s="2">
        <v>0</v>
      </c>
      <c r="I153" s="2">
        <v>1724</v>
      </c>
      <c r="J153" s="2">
        <v>263</v>
      </c>
      <c r="K153" s="2">
        <v>46</v>
      </c>
      <c r="L153" s="2">
        <v>543</v>
      </c>
      <c r="M153" s="2">
        <f>Tabela_dados_base[[#This Row],[Clicks pagos]]+Tabela_dados_base[[#This Row],[Clicks redes sociais]]</f>
        <v>263</v>
      </c>
      <c r="N153" s="5">
        <f>IFERROR(Tabela_dados_base[[#This Row],[Clicks pagos]]/Tabela_dados_base[[#This Row],[Total de Clicks]],"")</f>
        <v>0</v>
      </c>
      <c r="O153" s="5">
        <f>IFERROR(Tabela_dados_base[[#This Row],[Clicks redes sociais]]/Tabela_dados_base[[#This Row],[Total de Clicks]],"")</f>
        <v>1</v>
      </c>
      <c r="P153" s="6">
        <f>Tabela_dados_base[[#This Row],[Total de Clicks]]/Tabela_dados_base[[#This Row],[Visualizações]]</f>
        <v>0.48434622467771637</v>
      </c>
      <c r="Q153" s="5">
        <f>Tabela_dados_base[[#This Row],[Vezes pesquisados]]/Tabela_dados_base[[#This Row],[Visualizações]]</f>
        <v>8.4714548802946599E-2</v>
      </c>
      <c r="R153" s="5">
        <f>Tabela_dados_base[[#This Row],[Visitas Diretas]]/Tabela_dados_base[[#This Row],[Visualizações]]</f>
        <v>0.1860036832412523</v>
      </c>
    </row>
    <row r="154" spans="1:18" x14ac:dyDescent="0.2">
      <c r="A154" t="s">
        <v>12</v>
      </c>
      <c r="B154" t="s">
        <v>13</v>
      </c>
      <c r="C154" t="s">
        <v>14</v>
      </c>
      <c r="D154">
        <v>1047</v>
      </c>
      <c r="E154" s="1">
        <v>44500</v>
      </c>
      <c r="F154" s="2">
        <v>455</v>
      </c>
      <c r="G154" s="2">
        <v>729</v>
      </c>
      <c r="H154" s="2">
        <v>0</v>
      </c>
      <c r="I154" s="2">
        <v>7839</v>
      </c>
      <c r="J154" s="2">
        <v>1184</v>
      </c>
      <c r="K154" s="2">
        <v>205</v>
      </c>
      <c r="L154" s="2">
        <v>2296</v>
      </c>
      <c r="M154" s="2">
        <f>Tabela_dados_base[[#This Row],[Clicks pagos]]+Tabela_dados_base[[#This Row],[Clicks redes sociais]]</f>
        <v>1184</v>
      </c>
      <c r="N154" s="5">
        <f>IFERROR(Tabela_dados_base[[#This Row],[Clicks pagos]]/Tabela_dados_base[[#This Row],[Total de Clicks]],"")</f>
        <v>0</v>
      </c>
      <c r="O154" s="5">
        <f>IFERROR(Tabela_dados_base[[#This Row],[Clicks redes sociais]]/Tabela_dados_base[[#This Row],[Total de Clicks]],"")</f>
        <v>1</v>
      </c>
      <c r="P154" s="6">
        <f>Tabela_dados_base[[#This Row],[Total de Clicks]]/Tabela_dados_base[[#This Row],[Visualizações]]</f>
        <v>0.51567944250871078</v>
      </c>
      <c r="Q154" s="5">
        <f>Tabela_dados_base[[#This Row],[Vezes pesquisados]]/Tabela_dados_base[[#This Row],[Visualizações]]</f>
        <v>8.9285714285714288E-2</v>
      </c>
      <c r="R154" s="5">
        <f>Tabela_dados_base[[#This Row],[Visitas Diretas]]/Tabela_dados_base[[#This Row],[Visualizações]]</f>
        <v>0.19817073170731708</v>
      </c>
    </row>
    <row r="155" spans="1:18" x14ac:dyDescent="0.2">
      <c r="A155" t="s">
        <v>12</v>
      </c>
      <c r="B155" t="s">
        <v>13</v>
      </c>
      <c r="C155" t="s">
        <v>14</v>
      </c>
      <c r="D155">
        <v>1047</v>
      </c>
      <c r="E155" s="1">
        <v>44501</v>
      </c>
      <c r="F155" s="2">
        <v>11</v>
      </c>
      <c r="G155" s="2">
        <v>18</v>
      </c>
      <c r="H155" s="2">
        <v>0</v>
      </c>
      <c r="I155" s="2">
        <v>483</v>
      </c>
      <c r="J155" s="2">
        <v>29</v>
      </c>
      <c r="K155" s="2">
        <v>5</v>
      </c>
      <c r="L155" s="2">
        <v>130</v>
      </c>
      <c r="M155" s="2">
        <f>Tabela_dados_base[[#This Row],[Clicks pagos]]+Tabela_dados_base[[#This Row],[Clicks redes sociais]]</f>
        <v>29</v>
      </c>
      <c r="N155" s="5">
        <f>IFERROR(Tabela_dados_base[[#This Row],[Clicks pagos]]/Tabela_dados_base[[#This Row],[Total de Clicks]],"")</f>
        <v>0</v>
      </c>
      <c r="O155" s="5">
        <f>IFERROR(Tabela_dados_base[[#This Row],[Clicks redes sociais]]/Tabela_dados_base[[#This Row],[Total de Clicks]],"")</f>
        <v>1</v>
      </c>
      <c r="P155" s="6">
        <f>Tabela_dados_base[[#This Row],[Total de Clicks]]/Tabela_dados_base[[#This Row],[Visualizações]]</f>
        <v>0.22307692307692309</v>
      </c>
      <c r="Q155" s="5">
        <f>Tabela_dados_base[[#This Row],[Vezes pesquisados]]/Tabela_dados_base[[#This Row],[Visualizações]]</f>
        <v>3.8461538461538464E-2</v>
      </c>
      <c r="R155" s="5">
        <f>Tabela_dados_base[[#This Row],[Visitas Diretas]]/Tabela_dados_base[[#This Row],[Visualizações]]</f>
        <v>8.461538461538462E-2</v>
      </c>
    </row>
    <row r="156" spans="1:18" x14ac:dyDescent="0.2">
      <c r="A156" t="s">
        <v>12</v>
      </c>
      <c r="B156" t="s">
        <v>13</v>
      </c>
      <c r="C156" t="s">
        <v>14</v>
      </c>
      <c r="D156">
        <v>1047</v>
      </c>
      <c r="E156" s="1">
        <v>44502</v>
      </c>
      <c r="F156" s="2">
        <v>528</v>
      </c>
      <c r="G156" s="2">
        <v>845</v>
      </c>
      <c r="H156" s="2">
        <v>0</v>
      </c>
      <c r="I156" s="2">
        <v>8258</v>
      </c>
      <c r="J156" s="2">
        <v>1373</v>
      </c>
      <c r="K156" s="2">
        <v>238</v>
      </c>
      <c r="L156" s="2">
        <v>2691</v>
      </c>
      <c r="M156" s="2">
        <f>Tabela_dados_base[[#This Row],[Clicks pagos]]+Tabela_dados_base[[#This Row],[Clicks redes sociais]]</f>
        <v>1373</v>
      </c>
      <c r="N156" s="5">
        <f>IFERROR(Tabela_dados_base[[#This Row],[Clicks pagos]]/Tabela_dados_base[[#This Row],[Total de Clicks]],"")</f>
        <v>0</v>
      </c>
      <c r="O156" s="5">
        <f>IFERROR(Tabela_dados_base[[#This Row],[Clicks redes sociais]]/Tabela_dados_base[[#This Row],[Total de Clicks]],"")</f>
        <v>1</v>
      </c>
      <c r="P156" s="6">
        <f>Tabela_dados_base[[#This Row],[Total de Clicks]]/Tabela_dados_base[[#This Row],[Visualizações]]</f>
        <v>0.5102192493496841</v>
      </c>
      <c r="Q156" s="5">
        <f>Tabela_dados_base[[#This Row],[Vezes pesquisados]]/Tabela_dados_base[[#This Row],[Visualizações]]</f>
        <v>8.8442958008175393E-2</v>
      </c>
      <c r="R156" s="5">
        <f>Tabela_dados_base[[#This Row],[Visitas Diretas]]/Tabela_dados_base[[#This Row],[Visualizações]]</f>
        <v>0.19620958751393533</v>
      </c>
    </row>
    <row r="157" spans="1:18" x14ac:dyDescent="0.2">
      <c r="A157" t="s">
        <v>12</v>
      </c>
      <c r="B157" t="s">
        <v>13</v>
      </c>
      <c r="C157" t="s">
        <v>14</v>
      </c>
      <c r="D157">
        <v>1047</v>
      </c>
      <c r="E157" s="1">
        <v>44503</v>
      </c>
      <c r="F157" s="2">
        <v>35</v>
      </c>
      <c r="G157" s="2">
        <v>56</v>
      </c>
      <c r="H157" s="2">
        <v>32</v>
      </c>
      <c r="I157" s="2">
        <v>285</v>
      </c>
      <c r="J157" s="2">
        <v>92</v>
      </c>
      <c r="K157" s="2">
        <v>16</v>
      </c>
      <c r="L157" s="2">
        <v>232</v>
      </c>
      <c r="M157" s="2">
        <f>Tabela_dados_base[[#This Row],[Clicks pagos]]+Tabela_dados_base[[#This Row],[Clicks redes sociais]]</f>
        <v>124</v>
      </c>
      <c r="N157" s="5">
        <f>IFERROR(Tabela_dados_base[[#This Row],[Clicks pagos]]/Tabela_dados_base[[#This Row],[Total de Clicks]],"")</f>
        <v>0.25806451612903225</v>
      </c>
      <c r="O157" s="5">
        <f>IFERROR(Tabela_dados_base[[#This Row],[Clicks redes sociais]]/Tabela_dados_base[[#This Row],[Total de Clicks]],"")</f>
        <v>0.74193548387096775</v>
      </c>
      <c r="P157" s="6">
        <f>Tabela_dados_base[[#This Row],[Total de Clicks]]/Tabela_dados_base[[#This Row],[Visualizações]]</f>
        <v>0.53448275862068961</v>
      </c>
      <c r="Q157" s="5">
        <f>Tabela_dados_base[[#This Row],[Vezes pesquisados]]/Tabela_dados_base[[#This Row],[Visualizações]]</f>
        <v>6.8965517241379309E-2</v>
      </c>
      <c r="R157" s="5">
        <f>Tabela_dados_base[[#This Row],[Visitas Diretas]]/Tabela_dados_base[[#This Row],[Visualizações]]</f>
        <v>0.15086206896551724</v>
      </c>
    </row>
    <row r="158" spans="1:18" x14ac:dyDescent="0.2">
      <c r="A158" t="s">
        <v>12</v>
      </c>
      <c r="B158" t="s">
        <v>13</v>
      </c>
      <c r="C158" t="s">
        <v>14</v>
      </c>
      <c r="D158">
        <v>1047</v>
      </c>
      <c r="E158" s="1">
        <v>44504</v>
      </c>
      <c r="F158" s="2">
        <v>1674</v>
      </c>
      <c r="G158" s="2">
        <v>2678</v>
      </c>
      <c r="H158" s="2">
        <v>0</v>
      </c>
      <c r="I158" s="2">
        <v>33173</v>
      </c>
      <c r="J158" s="2">
        <v>4352</v>
      </c>
      <c r="K158" s="2">
        <v>753</v>
      </c>
      <c r="L158" s="2">
        <v>8462</v>
      </c>
      <c r="M158" s="2">
        <f>Tabela_dados_base[[#This Row],[Clicks pagos]]+Tabela_dados_base[[#This Row],[Clicks redes sociais]]</f>
        <v>4352</v>
      </c>
      <c r="N158" s="5">
        <f>IFERROR(Tabela_dados_base[[#This Row],[Clicks pagos]]/Tabela_dados_base[[#This Row],[Total de Clicks]],"")</f>
        <v>0</v>
      </c>
      <c r="O158" s="5">
        <f>IFERROR(Tabela_dados_base[[#This Row],[Clicks redes sociais]]/Tabela_dados_base[[#This Row],[Total de Clicks]],"")</f>
        <v>1</v>
      </c>
      <c r="P158" s="6">
        <f>Tabela_dados_base[[#This Row],[Total de Clicks]]/Tabela_dados_base[[#This Row],[Visualizações]]</f>
        <v>0.51429922004254314</v>
      </c>
      <c r="Q158" s="5">
        <f>Tabela_dados_base[[#This Row],[Vezes pesquisados]]/Tabela_dados_base[[#This Row],[Visualizações]]</f>
        <v>8.8986055306074216E-2</v>
      </c>
      <c r="R158" s="5">
        <f>Tabela_dados_base[[#This Row],[Visitas Diretas]]/Tabela_dados_base[[#This Row],[Visualizações]]</f>
        <v>0.19782557315055543</v>
      </c>
    </row>
    <row r="159" spans="1:18" x14ac:dyDescent="0.2">
      <c r="A159" t="s">
        <v>12</v>
      </c>
      <c r="B159" t="s">
        <v>13</v>
      </c>
      <c r="C159" t="s">
        <v>14</v>
      </c>
      <c r="D159">
        <v>1047</v>
      </c>
      <c r="E159" s="1">
        <v>44505</v>
      </c>
      <c r="F159" s="2">
        <v>26</v>
      </c>
      <c r="G159" s="2">
        <v>42</v>
      </c>
      <c r="H159" s="2">
        <v>0</v>
      </c>
      <c r="I159" s="2">
        <v>864</v>
      </c>
      <c r="J159" s="2">
        <v>69</v>
      </c>
      <c r="K159" s="2">
        <v>12</v>
      </c>
      <c r="L159" s="2">
        <v>222</v>
      </c>
      <c r="M159" s="2">
        <f>Tabela_dados_base[[#This Row],[Clicks pagos]]+Tabela_dados_base[[#This Row],[Clicks redes sociais]]</f>
        <v>69</v>
      </c>
      <c r="N159" s="5">
        <f>IFERROR(Tabela_dados_base[[#This Row],[Clicks pagos]]/Tabela_dados_base[[#This Row],[Total de Clicks]],"")</f>
        <v>0</v>
      </c>
      <c r="O159" s="5">
        <f>IFERROR(Tabela_dados_base[[#This Row],[Clicks redes sociais]]/Tabela_dados_base[[#This Row],[Total de Clicks]],"")</f>
        <v>1</v>
      </c>
      <c r="P159" s="6">
        <f>Tabela_dados_base[[#This Row],[Total de Clicks]]/Tabela_dados_base[[#This Row],[Visualizações]]</f>
        <v>0.3108108108108108</v>
      </c>
      <c r="Q159" s="5">
        <f>Tabela_dados_base[[#This Row],[Vezes pesquisados]]/Tabela_dados_base[[#This Row],[Visualizações]]</f>
        <v>5.4054054054054057E-2</v>
      </c>
      <c r="R159" s="5">
        <f>Tabela_dados_base[[#This Row],[Visitas Diretas]]/Tabela_dados_base[[#This Row],[Visualizações]]</f>
        <v>0.11711711711711711</v>
      </c>
    </row>
    <row r="160" spans="1:18" x14ac:dyDescent="0.2">
      <c r="A160" t="s">
        <v>12</v>
      </c>
      <c r="B160" t="s">
        <v>13</v>
      </c>
      <c r="C160" t="s">
        <v>14</v>
      </c>
      <c r="D160">
        <v>1047</v>
      </c>
      <c r="E160" s="1">
        <v>44506</v>
      </c>
      <c r="F160" s="2">
        <v>20</v>
      </c>
      <c r="G160" s="2">
        <v>31</v>
      </c>
      <c r="H160" s="2">
        <v>0</v>
      </c>
      <c r="I160" s="2">
        <v>563</v>
      </c>
      <c r="J160" s="2">
        <v>51</v>
      </c>
      <c r="K160" s="2">
        <v>9</v>
      </c>
      <c r="L160" s="2">
        <v>178</v>
      </c>
      <c r="M160" s="2">
        <f>Tabela_dados_base[[#This Row],[Clicks pagos]]+Tabela_dados_base[[#This Row],[Clicks redes sociais]]</f>
        <v>51</v>
      </c>
      <c r="N160" s="5">
        <f>IFERROR(Tabela_dados_base[[#This Row],[Clicks pagos]]/Tabela_dados_base[[#This Row],[Total de Clicks]],"")</f>
        <v>0</v>
      </c>
      <c r="O160" s="5">
        <f>IFERROR(Tabela_dados_base[[#This Row],[Clicks redes sociais]]/Tabela_dados_base[[#This Row],[Total de Clicks]],"")</f>
        <v>1</v>
      </c>
      <c r="P160" s="6">
        <f>Tabela_dados_base[[#This Row],[Total de Clicks]]/Tabela_dados_base[[#This Row],[Visualizações]]</f>
        <v>0.28651685393258425</v>
      </c>
      <c r="Q160" s="5">
        <f>Tabela_dados_base[[#This Row],[Vezes pesquisados]]/Tabela_dados_base[[#This Row],[Visualizações]]</f>
        <v>5.0561797752808987E-2</v>
      </c>
      <c r="R160" s="5">
        <f>Tabela_dados_base[[#This Row],[Visitas Diretas]]/Tabela_dados_base[[#This Row],[Visualizações]]</f>
        <v>0.11235955056179775</v>
      </c>
    </row>
    <row r="161" spans="1:18" x14ac:dyDescent="0.2">
      <c r="A161" t="s">
        <v>12</v>
      </c>
      <c r="B161" t="s">
        <v>13</v>
      </c>
      <c r="C161" t="s">
        <v>14</v>
      </c>
      <c r="D161">
        <v>1047</v>
      </c>
      <c r="E161" s="1">
        <v>44507</v>
      </c>
      <c r="F161" s="2">
        <v>129</v>
      </c>
      <c r="G161" s="2">
        <v>206</v>
      </c>
      <c r="H161" s="2">
        <v>0</v>
      </c>
      <c r="I161" s="2">
        <v>2539</v>
      </c>
      <c r="J161" s="2">
        <v>335</v>
      </c>
      <c r="K161" s="2">
        <v>58</v>
      </c>
      <c r="L161" s="2">
        <v>652</v>
      </c>
      <c r="M161" s="2">
        <f>Tabela_dados_base[[#This Row],[Clicks pagos]]+Tabela_dados_base[[#This Row],[Clicks redes sociais]]</f>
        <v>335</v>
      </c>
      <c r="N161" s="5">
        <f>IFERROR(Tabela_dados_base[[#This Row],[Clicks pagos]]/Tabela_dados_base[[#This Row],[Total de Clicks]],"")</f>
        <v>0</v>
      </c>
      <c r="O161" s="5">
        <f>IFERROR(Tabela_dados_base[[#This Row],[Clicks redes sociais]]/Tabela_dados_base[[#This Row],[Total de Clicks]],"")</f>
        <v>1</v>
      </c>
      <c r="P161" s="6">
        <f>Tabela_dados_base[[#This Row],[Total de Clicks]]/Tabela_dados_base[[#This Row],[Visualizações]]</f>
        <v>0.51380368098159512</v>
      </c>
      <c r="Q161" s="5">
        <f>Tabela_dados_base[[#This Row],[Vezes pesquisados]]/Tabela_dados_base[[#This Row],[Visualizações]]</f>
        <v>8.8957055214723926E-2</v>
      </c>
      <c r="R161" s="5">
        <f>Tabela_dados_base[[#This Row],[Visitas Diretas]]/Tabela_dados_base[[#This Row],[Visualizações]]</f>
        <v>0.19785276073619631</v>
      </c>
    </row>
    <row r="162" spans="1:18" x14ac:dyDescent="0.2">
      <c r="A162" t="s">
        <v>12</v>
      </c>
      <c r="B162" t="s">
        <v>13</v>
      </c>
      <c r="C162" t="s">
        <v>14</v>
      </c>
      <c r="D162">
        <v>1047</v>
      </c>
      <c r="E162" s="1">
        <v>44508</v>
      </c>
      <c r="F162" s="2">
        <v>1238</v>
      </c>
      <c r="G162" s="2">
        <v>1980</v>
      </c>
      <c r="H162" s="2">
        <v>0</v>
      </c>
      <c r="I162" s="2">
        <v>19237</v>
      </c>
      <c r="J162" s="2">
        <v>3218</v>
      </c>
      <c r="K162" s="2">
        <v>557</v>
      </c>
      <c r="L162" s="2">
        <v>6211</v>
      </c>
      <c r="M162" s="2">
        <f>Tabela_dados_base[[#This Row],[Clicks pagos]]+Tabela_dados_base[[#This Row],[Clicks redes sociais]]</f>
        <v>3218</v>
      </c>
      <c r="N162" s="5">
        <f>IFERROR(Tabela_dados_base[[#This Row],[Clicks pagos]]/Tabela_dados_base[[#This Row],[Total de Clicks]],"")</f>
        <v>0</v>
      </c>
      <c r="O162" s="5">
        <f>IFERROR(Tabela_dados_base[[#This Row],[Clicks redes sociais]]/Tabela_dados_base[[#This Row],[Total de Clicks]],"")</f>
        <v>1</v>
      </c>
      <c r="P162" s="6">
        <f>Tabela_dados_base[[#This Row],[Total de Clicks]]/Tabela_dados_base[[#This Row],[Visualizações]]</f>
        <v>0.51811302527773306</v>
      </c>
      <c r="Q162" s="5">
        <f>Tabela_dados_base[[#This Row],[Vezes pesquisados]]/Tabela_dados_base[[#This Row],[Visualizações]]</f>
        <v>8.9679600708420543E-2</v>
      </c>
      <c r="R162" s="5">
        <f>Tabela_dados_base[[#This Row],[Visitas Diretas]]/Tabela_dados_base[[#This Row],[Visualizações]]</f>
        <v>0.19932378038963131</v>
      </c>
    </row>
    <row r="163" spans="1:18" x14ac:dyDescent="0.2">
      <c r="A163" t="s">
        <v>12</v>
      </c>
      <c r="B163" t="s">
        <v>13</v>
      </c>
      <c r="C163" t="s">
        <v>14</v>
      </c>
      <c r="D163">
        <v>1047</v>
      </c>
      <c r="E163" s="1">
        <v>44509</v>
      </c>
      <c r="F163" s="2">
        <v>141</v>
      </c>
      <c r="G163" s="2">
        <v>225</v>
      </c>
      <c r="H163" s="2">
        <v>0</v>
      </c>
      <c r="I163" s="2">
        <v>1960</v>
      </c>
      <c r="J163" s="2">
        <v>366</v>
      </c>
      <c r="K163" s="2">
        <v>63</v>
      </c>
      <c r="L163" s="2">
        <v>765</v>
      </c>
      <c r="M163" s="2">
        <f>Tabela_dados_base[[#This Row],[Clicks pagos]]+Tabela_dados_base[[#This Row],[Clicks redes sociais]]</f>
        <v>366</v>
      </c>
      <c r="N163" s="5">
        <f>IFERROR(Tabela_dados_base[[#This Row],[Clicks pagos]]/Tabela_dados_base[[#This Row],[Total de Clicks]],"")</f>
        <v>0</v>
      </c>
      <c r="O163" s="5">
        <f>IFERROR(Tabela_dados_base[[#This Row],[Clicks redes sociais]]/Tabela_dados_base[[#This Row],[Total de Clicks]],"")</f>
        <v>1</v>
      </c>
      <c r="P163" s="6">
        <f>Tabela_dados_base[[#This Row],[Total de Clicks]]/Tabela_dados_base[[#This Row],[Visualizações]]</f>
        <v>0.47843137254901963</v>
      </c>
      <c r="Q163" s="5">
        <f>Tabela_dados_base[[#This Row],[Vezes pesquisados]]/Tabela_dados_base[[#This Row],[Visualizações]]</f>
        <v>8.2352941176470587E-2</v>
      </c>
      <c r="R163" s="5">
        <f>Tabela_dados_base[[#This Row],[Visitas Diretas]]/Tabela_dados_base[[#This Row],[Visualizações]]</f>
        <v>0.18431372549019609</v>
      </c>
    </row>
    <row r="164" spans="1:18" x14ac:dyDescent="0.2">
      <c r="A164" t="s">
        <v>12</v>
      </c>
      <c r="B164" t="s">
        <v>13</v>
      </c>
      <c r="C164" t="s">
        <v>14</v>
      </c>
      <c r="D164">
        <v>1047</v>
      </c>
      <c r="E164" s="1">
        <v>44510</v>
      </c>
      <c r="F164" s="2">
        <v>36</v>
      </c>
      <c r="G164" s="2">
        <v>58</v>
      </c>
      <c r="H164" s="2">
        <v>0</v>
      </c>
      <c r="I164" s="2">
        <v>502</v>
      </c>
      <c r="J164" s="2">
        <v>94</v>
      </c>
      <c r="K164" s="2">
        <v>16</v>
      </c>
      <c r="L164" s="2">
        <v>222</v>
      </c>
      <c r="M164" s="2">
        <f>Tabela_dados_base[[#This Row],[Clicks pagos]]+Tabela_dados_base[[#This Row],[Clicks redes sociais]]</f>
        <v>94</v>
      </c>
      <c r="N164" s="5">
        <f>IFERROR(Tabela_dados_base[[#This Row],[Clicks pagos]]/Tabela_dados_base[[#This Row],[Total de Clicks]],"")</f>
        <v>0</v>
      </c>
      <c r="O164" s="5">
        <f>IFERROR(Tabela_dados_base[[#This Row],[Clicks redes sociais]]/Tabela_dados_base[[#This Row],[Total de Clicks]],"")</f>
        <v>1</v>
      </c>
      <c r="P164" s="6">
        <f>Tabela_dados_base[[#This Row],[Total de Clicks]]/Tabela_dados_base[[#This Row],[Visualizações]]</f>
        <v>0.42342342342342343</v>
      </c>
      <c r="Q164" s="5">
        <f>Tabela_dados_base[[#This Row],[Vezes pesquisados]]/Tabela_dados_base[[#This Row],[Visualizações]]</f>
        <v>7.2072072072072071E-2</v>
      </c>
      <c r="R164" s="5">
        <f>Tabela_dados_base[[#This Row],[Visitas Diretas]]/Tabela_dados_base[[#This Row],[Visualizações]]</f>
        <v>0.16216216216216217</v>
      </c>
    </row>
    <row r="165" spans="1:18" x14ac:dyDescent="0.2">
      <c r="A165" t="s">
        <v>12</v>
      </c>
      <c r="B165" t="s">
        <v>13</v>
      </c>
      <c r="C165" t="s">
        <v>14</v>
      </c>
      <c r="D165">
        <v>1047</v>
      </c>
      <c r="E165" s="1">
        <v>44511</v>
      </c>
      <c r="F165" s="2">
        <v>168</v>
      </c>
      <c r="G165" s="2">
        <v>269</v>
      </c>
      <c r="H165" s="2">
        <v>0</v>
      </c>
      <c r="I165" s="2">
        <v>2507</v>
      </c>
      <c r="J165" s="2">
        <v>437</v>
      </c>
      <c r="K165" s="2">
        <v>76</v>
      </c>
      <c r="L165" s="2">
        <v>863</v>
      </c>
      <c r="M165" s="2">
        <f>Tabela_dados_base[[#This Row],[Clicks pagos]]+Tabela_dados_base[[#This Row],[Clicks redes sociais]]</f>
        <v>437</v>
      </c>
      <c r="N165" s="5">
        <f>IFERROR(Tabela_dados_base[[#This Row],[Clicks pagos]]/Tabela_dados_base[[#This Row],[Total de Clicks]],"")</f>
        <v>0</v>
      </c>
      <c r="O165" s="5">
        <f>IFERROR(Tabela_dados_base[[#This Row],[Clicks redes sociais]]/Tabela_dados_base[[#This Row],[Total de Clicks]],"")</f>
        <v>1</v>
      </c>
      <c r="P165" s="6">
        <f>Tabela_dados_base[[#This Row],[Total de Clicks]]/Tabela_dados_base[[#This Row],[Visualizações]]</f>
        <v>0.50637311703360366</v>
      </c>
      <c r="Q165" s="5">
        <f>Tabela_dados_base[[#This Row],[Vezes pesquisados]]/Tabela_dados_base[[#This Row],[Visualizações]]</f>
        <v>8.8064889918887598E-2</v>
      </c>
      <c r="R165" s="5">
        <f>Tabela_dados_base[[#This Row],[Visitas Diretas]]/Tabela_dados_base[[#This Row],[Visualizações]]</f>
        <v>0.19466975666280417</v>
      </c>
    </row>
    <row r="166" spans="1:18" x14ac:dyDescent="0.2">
      <c r="A166" t="s">
        <v>12</v>
      </c>
      <c r="B166" t="s">
        <v>13</v>
      </c>
      <c r="C166" t="s">
        <v>14</v>
      </c>
      <c r="D166">
        <v>1047</v>
      </c>
      <c r="E166" s="1">
        <v>44512</v>
      </c>
      <c r="F166" s="2">
        <v>72</v>
      </c>
      <c r="G166" s="2">
        <v>115</v>
      </c>
      <c r="H166" s="2">
        <v>0</v>
      </c>
      <c r="I166" s="2">
        <v>1139</v>
      </c>
      <c r="J166" s="2">
        <v>187</v>
      </c>
      <c r="K166" s="2">
        <v>32</v>
      </c>
      <c r="L166" s="2">
        <v>449</v>
      </c>
      <c r="M166" s="2">
        <f>Tabela_dados_base[[#This Row],[Clicks pagos]]+Tabela_dados_base[[#This Row],[Clicks redes sociais]]</f>
        <v>187</v>
      </c>
      <c r="N166" s="5">
        <f>IFERROR(Tabela_dados_base[[#This Row],[Clicks pagos]]/Tabela_dados_base[[#This Row],[Total de Clicks]],"")</f>
        <v>0</v>
      </c>
      <c r="O166" s="5">
        <f>IFERROR(Tabela_dados_base[[#This Row],[Clicks redes sociais]]/Tabela_dados_base[[#This Row],[Total de Clicks]],"")</f>
        <v>1</v>
      </c>
      <c r="P166" s="6">
        <f>Tabela_dados_base[[#This Row],[Total de Clicks]]/Tabela_dados_base[[#This Row],[Visualizações]]</f>
        <v>0.41648106904231624</v>
      </c>
      <c r="Q166" s="5">
        <f>Tabela_dados_base[[#This Row],[Vezes pesquisados]]/Tabela_dados_base[[#This Row],[Visualizações]]</f>
        <v>7.126948775055679E-2</v>
      </c>
      <c r="R166" s="5">
        <f>Tabela_dados_base[[#This Row],[Visitas Diretas]]/Tabela_dados_base[[#This Row],[Visualizações]]</f>
        <v>0.16035634743875279</v>
      </c>
    </row>
    <row r="167" spans="1:18" x14ac:dyDescent="0.2">
      <c r="A167" t="s">
        <v>12</v>
      </c>
      <c r="B167" t="s">
        <v>13</v>
      </c>
      <c r="C167" t="s">
        <v>14</v>
      </c>
      <c r="D167">
        <v>1047</v>
      </c>
      <c r="E167" s="1">
        <v>44513</v>
      </c>
      <c r="F167" s="2">
        <v>3208</v>
      </c>
      <c r="G167" s="2">
        <v>5132</v>
      </c>
      <c r="H167" s="2">
        <v>0</v>
      </c>
      <c r="I167" s="2">
        <v>38836</v>
      </c>
      <c r="J167" s="2">
        <v>8340</v>
      </c>
      <c r="K167" s="2">
        <v>1443</v>
      </c>
      <c r="L167" s="2">
        <v>16105</v>
      </c>
      <c r="M167" s="2">
        <f>Tabela_dados_base[[#This Row],[Clicks pagos]]+Tabela_dados_base[[#This Row],[Clicks redes sociais]]</f>
        <v>8340</v>
      </c>
      <c r="N167" s="5">
        <f>IFERROR(Tabela_dados_base[[#This Row],[Clicks pagos]]/Tabela_dados_base[[#This Row],[Total de Clicks]],"")</f>
        <v>0</v>
      </c>
      <c r="O167" s="5">
        <f>IFERROR(Tabela_dados_base[[#This Row],[Clicks redes sociais]]/Tabela_dados_base[[#This Row],[Total de Clicks]],"")</f>
        <v>1</v>
      </c>
      <c r="P167" s="6">
        <f>Tabela_dados_base[[#This Row],[Total de Clicks]]/Tabela_dados_base[[#This Row],[Visualizações]]</f>
        <v>0.51785159888233467</v>
      </c>
      <c r="Q167" s="5">
        <f>Tabela_dados_base[[#This Row],[Vezes pesquisados]]/Tabela_dados_base[[#This Row],[Visualizações]]</f>
        <v>8.9599503259857188E-2</v>
      </c>
      <c r="R167" s="5">
        <f>Tabela_dados_base[[#This Row],[Visitas Diretas]]/Tabela_dados_base[[#This Row],[Visualizações]]</f>
        <v>0.19919279726792921</v>
      </c>
    </row>
    <row r="168" spans="1:18" x14ac:dyDescent="0.2">
      <c r="A168" t="s">
        <v>12</v>
      </c>
      <c r="B168" t="s">
        <v>13</v>
      </c>
      <c r="C168" t="s">
        <v>14</v>
      </c>
      <c r="D168">
        <v>1047</v>
      </c>
      <c r="E168" s="1">
        <v>44514</v>
      </c>
      <c r="F168" s="2">
        <v>118</v>
      </c>
      <c r="G168" s="2">
        <v>188</v>
      </c>
      <c r="H168" s="2">
        <v>0</v>
      </c>
      <c r="I168" s="2">
        <v>1668</v>
      </c>
      <c r="J168" s="2">
        <v>306</v>
      </c>
      <c r="K168" s="2">
        <v>53</v>
      </c>
      <c r="L168" s="2">
        <v>627</v>
      </c>
      <c r="M168" s="2">
        <f>Tabela_dados_base[[#This Row],[Clicks pagos]]+Tabela_dados_base[[#This Row],[Clicks redes sociais]]</f>
        <v>306</v>
      </c>
      <c r="N168" s="5">
        <f>IFERROR(Tabela_dados_base[[#This Row],[Clicks pagos]]/Tabela_dados_base[[#This Row],[Total de Clicks]],"")</f>
        <v>0</v>
      </c>
      <c r="O168" s="5">
        <f>IFERROR(Tabela_dados_base[[#This Row],[Clicks redes sociais]]/Tabela_dados_base[[#This Row],[Total de Clicks]],"")</f>
        <v>1</v>
      </c>
      <c r="P168" s="6">
        <f>Tabela_dados_base[[#This Row],[Total de Clicks]]/Tabela_dados_base[[#This Row],[Visualizações]]</f>
        <v>0.48803827751196172</v>
      </c>
      <c r="Q168" s="5">
        <f>Tabela_dados_base[[#This Row],[Vezes pesquisados]]/Tabela_dados_base[[#This Row],[Visualizações]]</f>
        <v>8.4529505582137163E-2</v>
      </c>
      <c r="R168" s="5">
        <f>Tabela_dados_base[[#This Row],[Visitas Diretas]]/Tabela_dados_base[[#This Row],[Visualizações]]</f>
        <v>0.18819776714513556</v>
      </c>
    </row>
    <row r="169" spans="1:18" x14ac:dyDescent="0.2">
      <c r="A169" t="s">
        <v>12</v>
      </c>
      <c r="B169" t="s">
        <v>13</v>
      </c>
      <c r="C169" t="s">
        <v>14</v>
      </c>
      <c r="D169">
        <v>1047</v>
      </c>
      <c r="E169" s="1">
        <v>44515</v>
      </c>
      <c r="F169" s="2">
        <v>172</v>
      </c>
      <c r="G169" s="2">
        <v>275</v>
      </c>
      <c r="H169" s="2">
        <v>0</v>
      </c>
      <c r="I169" s="2">
        <v>2539</v>
      </c>
      <c r="J169" s="2">
        <v>446</v>
      </c>
      <c r="K169" s="2">
        <v>77</v>
      </c>
      <c r="L169" s="2">
        <v>924</v>
      </c>
      <c r="M169" s="2">
        <f>Tabela_dados_base[[#This Row],[Clicks pagos]]+Tabela_dados_base[[#This Row],[Clicks redes sociais]]</f>
        <v>446</v>
      </c>
      <c r="N169" s="5">
        <f>IFERROR(Tabela_dados_base[[#This Row],[Clicks pagos]]/Tabela_dados_base[[#This Row],[Total de Clicks]],"")</f>
        <v>0</v>
      </c>
      <c r="O169" s="5">
        <f>IFERROR(Tabela_dados_base[[#This Row],[Clicks redes sociais]]/Tabela_dados_base[[#This Row],[Total de Clicks]],"")</f>
        <v>1</v>
      </c>
      <c r="P169" s="6">
        <f>Tabela_dados_base[[#This Row],[Total de Clicks]]/Tabela_dados_base[[#This Row],[Visualizações]]</f>
        <v>0.48268398268398266</v>
      </c>
      <c r="Q169" s="5">
        <f>Tabela_dados_base[[#This Row],[Vezes pesquisados]]/Tabela_dados_base[[#This Row],[Visualizações]]</f>
        <v>8.3333333333333329E-2</v>
      </c>
      <c r="R169" s="5">
        <f>Tabela_dados_base[[#This Row],[Visitas Diretas]]/Tabela_dados_base[[#This Row],[Visualizações]]</f>
        <v>0.18614718614718614</v>
      </c>
    </row>
    <row r="170" spans="1:18" x14ac:dyDescent="0.2">
      <c r="A170" t="s">
        <v>12</v>
      </c>
      <c r="B170" t="s">
        <v>13</v>
      </c>
      <c r="C170" t="s">
        <v>14</v>
      </c>
      <c r="D170">
        <v>1047</v>
      </c>
      <c r="E170" s="1">
        <v>44516</v>
      </c>
      <c r="F170" s="2">
        <v>17</v>
      </c>
      <c r="G170" s="2">
        <v>27</v>
      </c>
      <c r="H170" s="2">
        <v>0</v>
      </c>
      <c r="I170" s="2">
        <v>315</v>
      </c>
      <c r="J170" s="2">
        <v>44</v>
      </c>
      <c r="K170" s="2">
        <v>8</v>
      </c>
      <c r="L170" s="2">
        <v>132</v>
      </c>
      <c r="M170" s="2">
        <f>Tabela_dados_base[[#This Row],[Clicks pagos]]+Tabela_dados_base[[#This Row],[Clicks redes sociais]]</f>
        <v>44</v>
      </c>
      <c r="N170" s="5">
        <f>IFERROR(Tabela_dados_base[[#This Row],[Clicks pagos]]/Tabela_dados_base[[#This Row],[Total de Clicks]],"")</f>
        <v>0</v>
      </c>
      <c r="O170" s="5">
        <f>IFERROR(Tabela_dados_base[[#This Row],[Clicks redes sociais]]/Tabela_dados_base[[#This Row],[Total de Clicks]],"")</f>
        <v>1</v>
      </c>
      <c r="P170" s="6">
        <f>Tabela_dados_base[[#This Row],[Total de Clicks]]/Tabela_dados_base[[#This Row],[Visualizações]]</f>
        <v>0.33333333333333331</v>
      </c>
      <c r="Q170" s="5">
        <f>Tabela_dados_base[[#This Row],[Vezes pesquisados]]/Tabela_dados_base[[#This Row],[Visualizações]]</f>
        <v>6.0606060606060608E-2</v>
      </c>
      <c r="R170" s="5">
        <f>Tabela_dados_base[[#This Row],[Visitas Diretas]]/Tabela_dados_base[[#This Row],[Visualizações]]</f>
        <v>0.12878787878787878</v>
      </c>
    </row>
    <row r="171" spans="1:18" x14ac:dyDescent="0.2">
      <c r="A171" t="s">
        <v>12</v>
      </c>
      <c r="B171" t="s">
        <v>13</v>
      </c>
      <c r="C171" t="s">
        <v>14</v>
      </c>
      <c r="D171">
        <v>1047</v>
      </c>
      <c r="E171" s="1">
        <v>44517</v>
      </c>
      <c r="F171" s="2">
        <v>153</v>
      </c>
      <c r="G171" s="2">
        <v>245</v>
      </c>
      <c r="H171" s="2">
        <v>0</v>
      </c>
      <c r="I171" s="2">
        <v>2107</v>
      </c>
      <c r="J171" s="2">
        <v>398</v>
      </c>
      <c r="K171" s="2">
        <v>69</v>
      </c>
      <c r="L171" s="2">
        <v>815</v>
      </c>
      <c r="M171" s="2">
        <f>Tabela_dados_base[[#This Row],[Clicks pagos]]+Tabela_dados_base[[#This Row],[Clicks redes sociais]]</f>
        <v>398</v>
      </c>
      <c r="N171" s="5">
        <f>IFERROR(Tabela_dados_base[[#This Row],[Clicks pagos]]/Tabela_dados_base[[#This Row],[Total de Clicks]],"")</f>
        <v>0</v>
      </c>
      <c r="O171" s="5">
        <f>IFERROR(Tabela_dados_base[[#This Row],[Clicks redes sociais]]/Tabela_dados_base[[#This Row],[Total de Clicks]],"")</f>
        <v>1</v>
      </c>
      <c r="P171" s="6">
        <f>Tabela_dados_base[[#This Row],[Total de Clicks]]/Tabela_dados_base[[#This Row],[Visualizações]]</f>
        <v>0.4883435582822086</v>
      </c>
      <c r="Q171" s="5">
        <f>Tabela_dados_base[[#This Row],[Vezes pesquisados]]/Tabela_dados_base[[#This Row],[Visualizações]]</f>
        <v>8.4662576687116561E-2</v>
      </c>
      <c r="R171" s="5">
        <f>Tabela_dados_base[[#This Row],[Visitas Diretas]]/Tabela_dados_base[[#This Row],[Visualizações]]</f>
        <v>0.18773006134969325</v>
      </c>
    </row>
    <row r="172" spans="1:18" x14ac:dyDescent="0.2">
      <c r="A172" t="s">
        <v>12</v>
      </c>
      <c r="B172" t="s">
        <v>13</v>
      </c>
      <c r="C172" t="s">
        <v>14</v>
      </c>
      <c r="D172">
        <v>1047</v>
      </c>
      <c r="E172" s="1">
        <v>44518</v>
      </c>
      <c r="F172" s="2">
        <v>316</v>
      </c>
      <c r="G172" s="2">
        <v>506</v>
      </c>
      <c r="H172" s="2">
        <v>0</v>
      </c>
      <c r="I172" s="2">
        <v>3159</v>
      </c>
      <c r="J172" s="2">
        <v>822</v>
      </c>
      <c r="K172" s="2">
        <v>142</v>
      </c>
      <c r="L172" s="2">
        <v>1649</v>
      </c>
      <c r="M172" s="2">
        <f>Tabela_dados_base[[#This Row],[Clicks pagos]]+Tabela_dados_base[[#This Row],[Clicks redes sociais]]</f>
        <v>822</v>
      </c>
      <c r="N172" s="5">
        <f>IFERROR(Tabela_dados_base[[#This Row],[Clicks pagos]]/Tabela_dados_base[[#This Row],[Total de Clicks]],"")</f>
        <v>0</v>
      </c>
      <c r="O172" s="5">
        <f>IFERROR(Tabela_dados_base[[#This Row],[Clicks redes sociais]]/Tabela_dados_base[[#This Row],[Total de Clicks]],"")</f>
        <v>1</v>
      </c>
      <c r="P172" s="6">
        <f>Tabela_dados_base[[#This Row],[Total de Clicks]]/Tabela_dados_base[[#This Row],[Visualizações]]</f>
        <v>0.49848392965433597</v>
      </c>
      <c r="Q172" s="5">
        <f>Tabela_dados_base[[#This Row],[Vezes pesquisados]]/Tabela_dados_base[[#This Row],[Visualizações]]</f>
        <v>8.6112795633717404E-2</v>
      </c>
      <c r="R172" s="5">
        <f>Tabela_dados_base[[#This Row],[Visitas Diretas]]/Tabela_dados_base[[#This Row],[Visualizações]]</f>
        <v>0.19163129169193452</v>
      </c>
    </row>
    <row r="173" spans="1:18" x14ac:dyDescent="0.2">
      <c r="A173" t="s">
        <v>12</v>
      </c>
      <c r="B173" t="s">
        <v>13</v>
      </c>
      <c r="C173" t="s">
        <v>14</v>
      </c>
      <c r="D173">
        <v>1047</v>
      </c>
      <c r="E173" s="1">
        <v>44519</v>
      </c>
      <c r="F173" s="2">
        <v>336</v>
      </c>
      <c r="G173" s="2">
        <v>538</v>
      </c>
      <c r="H173" s="2">
        <v>0</v>
      </c>
      <c r="I173" s="2">
        <v>2289</v>
      </c>
      <c r="J173" s="2">
        <v>874</v>
      </c>
      <c r="K173" s="2">
        <v>151</v>
      </c>
      <c r="L173" s="2">
        <v>1768</v>
      </c>
      <c r="M173" s="2">
        <f>Tabela_dados_base[[#This Row],[Clicks pagos]]+Tabela_dados_base[[#This Row],[Clicks redes sociais]]</f>
        <v>874</v>
      </c>
      <c r="N173" s="5">
        <f>IFERROR(Tabela_dados_base[[#This Row],[Clicks pagos]]/Tabela_dados_base[[#This Row],[Total de Clicks]],"")</f>
        <v>0</v>
      </c>
      <c r="O173" s="5">
        <f>IFERROR(Tabela_dados_base[[#This Row],[Clicks redes sociais]]/Tabela_dados_base[[#This Row],[Total de Clicks]],"")</f>
        <v>1</v>
      </c>
      <c r="P173" s="6">
        <f>Tabela_dados_base[[#This Row],[Total de Clicks]]/Tabela_dados_base[[#This Row],[Visualizações]]</f>
        <v>0.49434389140271495</v>
      </c>
      <c r="Q173" s="5">
        <f>Tabela_dados_base[[#This Row],[Vezes pesquisados]]/Tabela_dados_base[[#This Row],[Visualizações]]</f>
        <v>8.5407239819004527E-2</v>
      </c>
      <c r="R173" s="5">
        <f>Tabela_dados_base[[#This Row],[Visitas Diretas]]/Tabela_dados_base[[#This Row],[Visualizações]]</f>
        <v>0.19004524886877827</v>
      </c>
    </row>
    <row r="174" spans="1:18" x14ac:dyDescent="0.2">
      <c r="A174" t="s">
        <v>12</v>
      </c>
      <c r="B174" t="s">
        <v>13</v>
      </c>
      <c r="C174" t="s">
        <v>14</v>
      </c>
      <c r="D174">
        <v>1047</v>
      </c>
      <c r="E174" s="1">
        <v>44520</v>
      </c>
      <c r="F174" s="2">
        <v>81</v>
      </c>
      <c r="G174" s="2">
        <v>129</v>
      </c>
      <c r="H174" s="2">
        <v>0</v>
      </c>
      <c r="I174" s="2">
        <v>1252</v>
      </c>
      <c r="J174" s="2">
        <v>210</v>
      </c>
      <c r="K174" s="2">
        <v>36</v>
      </c>
      <c r="L174" s="2">
        <v>447</v>
      </c>
      <c r="M174" s="2">
        <f>Tabela_dados_base[[#This Row],[Clicks pagos]]+Tabela_dados_base[[#This Row],[Clicks redes sociais]]</f>
        <v>210</v>
      </c>
      <c r="N174" s="5">
        <f>IFERROR(Tabela_dados_base[[#This Row],[Clicks pagos]]/Tabela_dados_base[[#This Row],[Total de Clicks]],"")</f>
        <v>0</v>
      </c>
      <c r="O174" s="5">
        <f>IFERROR(Tabela_dados_base[[#This Row],[Clicks redes sociais]]/Tabela_dados_base[[#This Row],[Total de Clicks]],"")</f>
        <v>1</v>
      </c>
      <c r="P174" s="6">
        <f>Tabela_dados_base[[#This Row],[Total de Clicks]]/Tabela_dados_base[[#This Row],[Visualizações]]</f>
        <v>0.46979865771812079</v>
      </c>
      <c r="Q174" s="5">
        <f>Tabela_dados_base[[#This Row],[Vezes pesquisados]]/Tabela_dados_base[[#This Row],[Visualizações]]</f>
        <v>8.0536912751677847E-2</v>
      </c>
      <c r="R174" s="5">
        <f>Tabela_dados_base[[#This Row],[Visitas Diretas]]/Tabela_dados_base[[#This Row],[Visualizações]]</f>
        <v>0.18120805369127516</v>
      </c>
    </row>
    <row r="175" spans="1:18" x14ac:dyDescent="0.2">
      <c r="A175" t="s">
        <v>12</v>
      </c>
      <c r="B175" t="s">
        <v>13</v>
      </c>
      <c r="C175" t="s">
        <v>14</v>
      </c>
      <c r="D175">
        <v>1047</v>
      </c>
      <c r="E175" s="1">
        <v>44521</v>
      </c>
      <c r="F175" s="2">
        <v>207</v>
      </c>
      <c r="G175" s="2">
        <v>331</v>
      </c>
      <c r="H175" s="2">
        <v>0</v>
      </c>
      <c r="I175" s="2">
        <v>2868</v>
      </c>
      <c r="J175" s="2">
        <v>538</v>
      </c>
      <c r="K175" s="2">
        <v>93</v>
      </c>
      <c r="L175" s="2">
        <v>1110</v>
      </c>
      <c r="M175" s="2">
        <f>Tabela_dados_base[[#This Row],[Clicks pagos]]+Tabela_dados_base[[#This Row],[Clicks redes sociais]]</f>
        <v>538</v>
      </c>
      <c r="N175" s="5">
        <f>IFERROR(Tabela_dados_base[[#This Row],[Clicks pagos]]/Tabela_dados_base[[#This Row],[Total de Clicks]],"")</f>
        <v>0</v>
      </c>
      <c r="O175" s="5">
        <f>IFERROR(Tabela_dados_base[[#This Row],[Clicks redes sociais]]/Tabela_dados_base[[#This Row],[Total de Clicks]],"")</f>
        <v>1</v>
      </c>
      <c r="P175" s="6">
        <f>Tabela_dados_base[[#This Row],[Total de Clicks]]/Tabela_dados_base[[#This Row],[Visualizações]]</f>
        <v>0.48468468468468467</v>
      </c>
      <c r="Q175" s="5">
        <f>Tabela_dados_base[[#This Row],[Vezes pesquisados]]/Tabela_dados_base[[#This Row],[Visualizações]]</f>
        <v>8.3783783783783788E-2</v>
      </c>
      <c r="R175" s="5">
        <f>Tabela_dados_base[[#This Row],[Visitas Diretas]]/Tabela_dados_base[[#This Row],[Visualizações]]</f>
        <v>0.1864864864864865</v>
      </c>
    </row>
    <row r="176" spans="1:18" x14ac:dyDescent="0.2">
      <c r="A176" t="s">
        <v>12</v>
      </c>
      <c r="B176" t="s">
        <v>13</v>
      </c>
      <c r="C176" t="s">
        <v>14</v>
      </c>
      <c r="D176">
        <v>1047</v>
      </c>
      <c r="E176" s="1">
        <v>44522</v>
      </c>
      <c r="F176" s="2">
        <v>574</v>
      </c>
      <c r="G176" s="2">
        <v>918</v>
      </c>
      <c r="H176" s="2">
        <v>0</v>
      </c>
      <c r="I176" s="2">
        <v>3141</v>
      </c>
      <c r="J176" s="2">
        <v>1492</v>
      </c>
      <c r="K176" s="2">
        <v>258</v>
      </c>
      <c r="L176" s="2">
        <v>2895</v>
      </c>
      <c r="M176" s="2">
        <f>Tabela_dados_base[[#This Row],[Clicks pagos]]+Tabela_dados_base[[#This Row],[Clicks redes sociais]]</f>
        <v>1492</v>
      </c>
      <c r="N176" s="5">
        <f>IFERROR(Tabela_dados_base[[#This Row],[Clicks pagos]]/Tabela_dados_base[[#This Row],[Total de Clicks]],"")</f>
        <v>0</v>
      </c>
      <c r="O176" s="5">
        <f>IFERROR(Tabela_dados_base[[#This Row],[Clicks redes sociais]]/Tabela_dados_base[[#This Row],[Total de Clicks]],"")</f>
        <v>1</v>
      </c>
      <c r="P176" s="6">
        <f>Tabela_dados_base[[#This Row],[Total de Clicks]]/Tabela_dados_base[[#This Row],[Visualizações]]</f>
        <v>0.51537132987910195</v>
      </c>
      <c r="Q176" s="5">
        <f>Tabela_dados_base[[#This Row],[Vezes pesquisados]]/Tabela_dados_base[[#This Row],[Visualizações]]</f>
        <v>8.9119170984455959E-2</v>
      </c>
      <c r="R176" s="5">
        <f>Tabela_dados_base[[#This Row],[Visitas Diretas]]/Tabela_dados_base[[#This Row],[Visualizações]]</f>
        <v>0.19827288428324696</v>
      </c>
    </row>
    <row r="177" spans="1:18" x14ac:dyDescent="0.2">
      <c r="A177" t="s">
        <v>12</v>
      </c>
      <c r="B177" t="s">
        <v>13</v>
      </c>
      <c r="C177" t="s">
        <v>14</v>
      </c>
      <c r="D177">
        <v>1047</v>
      </c>
      <c r="E177" s="1">
        <v>44523</v>
      </c>
      <c r="F177" s="2">
        <v>118</v>
      </c>
      <c r="G177" s="2">
        <v>188</v>
      </c>
      <c r="H177" s="2">
        <v>0</v>
      </c>
      <c r="I177" s="2">
        <v>2490</v>
      </c>
      <c r="J177" s="2">
        <v>306</v>
      </c>
      <c r="K177" s="2">
        <v>53</v>
      </c>
      <c r="L177" s="2">
        <v>639</v>
      </c>
      <c r="M177" s="2">
        <f>Tabela_dados_base[[#This Row],[Clicks pagos]]+Tabela_dados_base[[#This Row],[Clicks redes sociais]]</f>
        <v>306</v>
      </c>
      <c r="N177" s="5">
        <f>IFERROR(Tabela_dados_base[[#This Row],[Clicks pagos]]/Tabela_dados_base[[#This Row],[Total de Clicks]],"")</f>
        <v>0</v>
      </c>
      <c r="O177" s="5">
        <f>IFERROR(Tabela_dados_base[[#This Row],[Clicks redes sociais]]/Tabela_dados_base[[#This Row],[Total de Clicks]],"")</f>
        <v>1</v>
      </c>
      <c r="P177" s="6">
        <f>Tabela_dados_base[[#This Row],[Total de Clicks]]/Tabela_dados_base[[#This Row],[Visualizações]]</f>
        <v>0.47887323943661969</v>
      </c>
      <c r="Q177" s="5">
        <f>Tabela_dados_base[[#This Row],[Vezes pesquisados]]/Tabela_dados_base[[#This Row],[Visualizações]]</f>
        <v>8.2942097026604072E-2</v>
      </c>
      <c r="R177" s="5">
        <f>Tabela_dados_base[[#This Row],[Visitas Diretas]]/Tabela_dados_base[[#This Row],[Visualizações]]</f>
        <v>0.18466353677621283</v>
      </c>
    </row>
    <row r="178" spans="1:18" x14ac:dyDescent="0.2">
      <c r="A178" t="s">
        <v>12</v>
      </c>
      <c r="B178" t="s">
        <v>13</v>
      </c>
      <c r="C178" t="s">
        <v>14</v>
      </c>
      <c r="D178">
        <v>1047</v>
      </c>
      <c r="E178" s="1">
        <v>44524</v>
      </c>
      <c r="F178" s="2">
        <v>624</v>
      </c>
      <c r="G178" s="2">
        <v>998</v>
      </c>
      <c r="H178" s="2">
        <v>0</v>
      </c>
      <c r="I178" s="2">
        <v>12596</v>
      </c>
      <c r="J178" s="2">
        <v>1622</v>
      </c>
      <c r="K178" s="2">
        <v>281</v>
      </c>
      <c r="L178" s="2">
        <v>3206</v>
      </c>
      <c r="M178" s="2">
        <f>Tabela_dados_base[[#This Row],[Clicks pagos]]+Tabela_dados_base[[#This Row],[Clicks redes sociais]]</f>
        <v>1622</v>
      </c>
      <c r="N178" s="5">
        <f>IFERROR(Tabela_dados_base[[#This Row],[Clicks pagos]]/Tabela_dados_base[[#This Row],[Total de Clicks]],"")</f>
        <v>0</v>
      </c>
      <c r="O178" s="5">
        <f>IFERROR(Tabela_dados_base[[#This Row],[Clicks redes sociais]]/Tabela_dados_base[[#This Row],[Total de Clicks]],"")</f>
        <v>1</v>
      </c>
      <c r="P178" s="6">
        <f>Tabela_dados_base[[#This Row],[Total de Clicks]]/Tabela_dados_base[[#This Row],[Visualizações]]</f>
        <v>0.50592638802245793</v>
      </c>
      <c r="Q178" s="5">
        <f>Tabela_dados_base[[#This Row],[Vezes pesquisados]]/Tabela_dados_base[[#This Row],[Visualizações]]</f>
        <v>8.7648159700561445E-2</v>
      </c>
      <c r="R178" s="5">
        <f>Tabela_dados_base[[#This Row],[Visitas Diretas]]/Tabela_dados_base[[#This Row],[Visualizações]]</f>
        <v>0.19463505926388022</v>
      </c>
    </row>
    <row r="179" spans="1:18" x14ac:dyDescent="0.2">
      <c r="A179" t="s">
        <v>12</v>
      </c>
      <c r="B179" t="s">
        <v>13</v>
      </c>
      <c r="C179" t="s">
        <v>14</v>
      </c>
      <c r="D179">
        <v>1047</v>
      </c>
      <c r="E179" s="1">
        <v>44525</v>
      </c>
      <c r="F179" s="2">
        <v>533</v>
      </c>
      <c r="G179" s="2">
        <v>853</v>
      </c>
      <c r="H179" s="2">
        <v>0</v>
      </c>
      <c r="I179" s="2">
        <v>6857</v>
      </c>
      <c r="J179" s="2">
        <v>1386</v>
      </c>
      <c r="K179" s="2">
        <v>240</v>
      </c>
      <c r="L179" s="2">
        <v>2703</v>
      </c>
      <c r="M179" s="2">
        <f>Tabela_dados_base[[#This Row],[Clicks pagos]]+Tabela_dados_base[[#This Row],[Clicks redes sociais]]</f>
        <v>1386</v>
      </c>
      <c r="N179" s="5">
        <f>IFERROR(Tabela_dados_base[[#This Row],[Clicks pagos]]/Tabela_dados_base[[#This Row],[Total de Clicks]],"")</f>
        <v>0</v>
      </c>
      <c r="O179" s="5">
        <f>IFERROR(Tabela_dados_base[[#This Row],[Clicks redes sociais]]/Tabela_dados_base[[#This Row],[Total de Clicks]],"")</f>
        <v>1</v>
      </c>
      <c r="P179" s="6">
        <f>Tabela_dados_base[[#This Row],[Total de Clicks]]/Tabela_dados_base[[#This Row],[Visualizações]]</f>
        <v>0.51276359600443955</v>
      </c>
      <c r="Q179" s="5">
        <f>Tabela_dados_base[[#This Row],[Vezes pesquisados]]/Tabela_dados_base[[#This Row],[Visualizações]]</f>
        <v>8.8790233074361818E-2</v>
      </c>
      <c r="R179" s="5">
        <f>Tabela_dados_base[[#This Row],[Visitas Diretas]]/Tabela_dados_base[[#This Row],[Visualizações]]</f>
        <v>0.19718830928597855</v>
      </c>
    </row>
    <row r="180" spans="1:18" x14ac:dyDescent="0.2">
      <c r="A180" t="s">
        <v>12</v>
      </c>
      <c r="B180" t="s">
        <v>13</v>
      </c>
      <c r="C180" t="s">
        <v>14</v>
      </c>
      <c r="D180">
        <v>1047</v>
      </c>
      <c r="E180" s="1">
        <v>44526</v>
      </c>
      <c r="F180" s="2">
        <v>765</v>
      </c>
      <c r="G180" s="2">
        <v>1225</v>
      </c>
      <c r="H180" s="2">
        <v>0</v>
      </c>
      <c r="I180" s="2">
        <v>9120</v>
      </c>
      <c r="J180" s="2">
        <v>1990</v>
      </c>
      <c r="K180" s="2">
        <v>344</v>
      </c>
      <c r="L180" s="2">
        <v>3912</v>
      </c>
      <c r="M180" s="2">
        <f>Tabela_dados_base[[#This Row],[Clicks pagos]]+Tabela_dados_base[[#This Row],[Clicks redes sociais]]</f>
        <v>1990</v>
      </c>
      <c r="N180" s="5">
        <f>IFERROR(Tabela_dados_base[[#This Row],[Clicks pagos]]/Tabela_dados_base[[#This Row],[Total de Clicks]],"")</f>
        <v>0</v>
      </c>
      <c r="O180" s="5">
        <f>IFERROR(Tabela_dados_base[[#This Row],[Clicks redes sociais]]/Tabela_dados_base[[#This Row],[Total de Clicks]],"")</f>
        <v>1</v>
      </c>
      <c r="P180" s="6">
        <f>Tabela_dados_base[[#This Row],[Total de Clicks]]/Tabela_dados_base[[#This Row],[Visualizações]]</f>
        <v>0.50869120654396727</v>
      </c>
      <c r="Q180" s="5">
        <f>Tabela_dados_base[[#This Row],[Vezes pesquisados]]/Tabela_dados_base[[#This Row],[Visualizações]]</f>
        <v>8.7934560327198361E-2</v>
      </c>
      <c r="R180" s="5">
        <f>Tabela_dados_base[[#This Row],[Visitas Diretas]]/Tabela_dados_base[[#This Row],[Visualizações]]</f>
        <v>0.19555214723926381</v>
      </c>
    </row>
    <row r="181" spans="1:18" x14ac:dyDescent="0.2">
      <c r="A181" t="s">
        <v>12</v>
      </c>
      <c r="B181" t="s">
        <v>13</v>
      </c>
      <c r="C181" t="s">
        <v>14</v>
      </c>
      <c r="D181">
        <v>1047</v>
      </c>
      <c r="E181" s="1">
        <v>44527</v>
      </c>
      <c r="F181" s="2">
        <v>1006</v>
      </c>
      <c r="G181" s="2">
        <v>1610</v>
      </c>
      <c r="H181" s="2">
        <v>0</v>
      </c>
      <c r="I181" s="2">
        <v>11853</v>
      </c>
      <c r="J181" s="2">
        <v>2617</v>
      </c>
      <c r="K181" s="2">
        <v>453</v>
      </c>
      <c r="L181" s="2">
        <v>5039</v>
      </c>
      <c r="M181" s="2">
        <f>Tabela_dados_base[[#This Row],[Clicks pagos]]+Tabela_dados_base[[#This Row],[Clicks redes sociais]]</f>
        <v>2617</v>
      </c>
      <c r="N181" s="5">
        <f>IFERROR(Tabela_dados_base[[#This Row],[Clicks pagos]]/Tabela_dados_base[[#This Row],[Total de Clicks]],"")</f>
        <v>0</v>
      </c>
      <c r="O181" s="5">
        <f>IFERROR(Tabela_dados_base[[#This Row],[Clicks redes sociais]]/Tabela_dados_base[[#This Row],[Total de Clicks]],"")</f>
        <v>1</v>
      </c>
      <c r="P181" s="6">
        <f>Tabela_dados_base[[#This Row],[Total de Clicks]]/Tabela_dados_base[[#This Row],[Visualizações]]</f>
        <v>0.51934907719785672</v>
      </c>
      <c r="Q181" s="5">
        <f>Tabela_dados_base[[#This Row],[Vezes pesquisados]]/Tabela_dados_base[[#This Row],[Visualizações]]</f>
        <v>8.9898789442349678E-2</v>
      </c>
      <c r="R181" s="5">
        <f>Tabela_dados_base[[#This Row],[Visitas Diretas]]/Tabela_dados_base[[#This Row],[Visualizações]]</f>
        <v>0.19964278626711648</v>
      </c>
    </row>
    <row r="182" spans="1:18" x14ac:dyDescent="0.2">
      <c r="A182" t="s">
        <v>12</v>
      </c>
      <c r="B182" t="s">
        <v>13</v>
      </c>
      <c r="C182" t="s">
        <v>14</v>
      </c>
      <c r="D182">
        <v>1047</v>
      </c>
      <c r="E182" s="1">
        <v>44528</v>
      </c>
      <c r="F182" s="2">
        <v>916</v>
      </c>
      <c r="G182" s="2">
        <v>1466</v>
      </c>
      <c r="H182" s="2">
        <v>0</v>
      </c>
      <c r="I182" s="2">
        <v>15768</v>
      </c>
      <c r="J182" s="2">
        <v>2383</v>
      </c>
      <c r="K182" s="2">
        <v>412</v>
      </c>
      <c r="L182" s="2">
        <v>4651</v>
      </c>
      <c r="M182" s="2">
        <f>Tabela_dados_base[[#This Row],[Clicks pagos]]+Tabela_dados_base[[#This Row],[Clicks redes sociais]]</f>
        <v>2383</v>
      </c>
      <c r="N182" s="5">
        <f>IFERROR(Tabela_dados_base[[#This Row],[Clicks pagos]]/Tabela_dados_base[[#This Row],[Total de Clicks]],"")</f>
        <v>0</v>
      </c>
      <c r="O182" s="5">
        <f>IFERROR(Tabela_dados_base[[#This Row],[Clicks redes sociais]]/Tabela_dados_base[[#This Row],[Total de Clicks]],"")</f>
        <v>1</v>
      </c>
      <c r="P182" s="6">
        <f>Tabela_dados_base[[#This Row],[Total de Clicks]]/Tabela_dados_base[[#This Row],[Visualizações]]</f>
        <v>0.51236293270264455</v>
      </c>
      <c r="Q182" s="5">
        <f>Tabela_dados_base[[#This Row],[Vezes pesquisados]]/Tabela_dados_base[[#This Row],[Visualizações]]</f>
        <v>8.8583100408514304E-2</v>
      </c>
      <c r="R182" s="5">
        <f>Tabela_dados_base[[#This Row],[Visitas Diretas]]/Tabela_dados_base[[#This Row],[Visualizações]]</f>
        <v>0.19694689314125993</v>
      </c>
    </row>
    <row r="183" spans="1:18" x14ac:dyDescent="0.2">
      <c r="A183" t="s">
        <v>12</v>
      </c>
      <c r="B183" t="s">
        <v>13</v>
      </c>
      <c r="C183" t="s">
        <v>14</v>
      </c>
      <c r="D183">
        <v>1047</v>
      </c>
      <c r="E183" s="1">
        <v>44529</v>
      </c>
      <c r="F183" s="2">
        <v>46</v>
      </c>
      <c r="G183" s="2">
        <v>74</v>
      </c>
      <c r="H183" s="2">
        <v>0</v>
      </c>
      <c r="I183" s="2">
        <v>529</v>
      </c>
      <c r="J183" s="2">
        <v>120</v>
      </c>
      <c r="K183" s="2">
        <v>21</v>
      </c>
      <c r="L183" s="2">
        <v>239</v>
      </c>
      <c r="M183" s="2">
        <f>Tabela_dados_base[[#This Row],[Clicks pagos]]+Tabela_dados_base[[#This Row],[Clicks redes sociais]]</f>
        <v>120</v>
      </c>
      <c r="N183" s="5">
        <f>IFERROR(Tabela_dados_base[[#This Row],[Clicks pagos]]/Tabela_dados_base[[#This Row],[Total de Clicks]],"")</f>
        <v>0</v>
      </c>
      <c r="O183" s="5">
        <f>IFERROR(Tabela_dados_base[[#This Row],[Clicks redes sociais]]/Tabela_dados_base[[#This Row],[Total de Clicks]],"")</f>
        <v>1</v>
      </c>
      <c r="P183" s="6">
        <f>Tabela_dados_base[[#This Row],[Total de Clicks]]/Tabela_dados_base[[#This Row],[Visualizações]]</f>
        <v>0.502092050209205</v>
      </c>
      <c r="Q183" s="5">
        <f>Tabela_dados_base[[#This Row],[Vezes pesquisados]]/Tabela_dados_base[[#This Row],[Visualizações]]</f>
        <v>8.7866108786610872E-2</v>
      </c>
      <c r="R183" s="5">
        <f>Tabela_dados_base[[#This Row],[Visitas Diretas]]/Tabela_dados_base[[#This Row],[Visualizações]]</f>
        <v>0.19246861924686193</v>
      </c>
    </row>
    <row r="184" spans="1:18" x14ac:dyDescent="0.2">
      <c r="A184" t="s">
        <v>12</v>
      </c>
      <c r="B184" t="s">
        <v>13</v>
      </c>
      <c r="C184" t="s">
        <v>14</v>
      </c>
      <c r="D184">
        <v>1047</v>
      </c>
      <c r="E184" s="1">
        <v>44530</v>
      </c>
      <c r="F184" s="2">
        <v>36</v>
      </c>
      <c r="G184" s="2">
        <v>58</v>
      </c>
      <c r="H184" s="2">
        <v>0</v>
      </c>
      <c r="I184" s="2">
        <v>280</v>
      </c>
      <c r="J184" s="2">
        <v>95</v>
      </c>
      <c r="K184" s="2">
        <v>16</v>
      </c>
      <c r="L184" s="2">
        <v>233</v>
      </c>
      <c r="M184" s="2">
        <f>Tabela_dados_base[[#This Row],[Clicks pagos]]+Tabela_dados_base[[#This Row],[Clicks redes sociais]]</f>
        <v>95</v>
      </c>
      <c r="N184" s="5">
        <f>IFERROR(Tabela_dados_base[[#This Row],[Clicks pagos]]/Tabela_dados_base[[#This Row],[Total de Clicks]],"")</f>
        <v>0</v>
      </c>
      <c r="O184" s="5">
        <f>IFERROR(Tabela_dados_base[[#This Row],[Clicks redes sociais]]/Tabela_dados_base[[#This Row],[Total de Clicks]],"")</f>
        <v>1</v>
      </c>
      <c r="P184" s="6">
        <f>Tabela_dados_base[[#This Row],[Total de Clicks]]/Tabela_dados_base[[#This Row],[Visualizações]]</f>
        <v>0.40772532188841204</v>
      </c>
      <c r="Q184" s="5">
        <f>Tabela_dados_base[[#This Row],[Vezes pesquisados]]/Tabela_dados_base[[#This Row],[Visualizações]]</f>
        <v>6.8669527896995708E-2</v>
      </c>
      <c r="R184" s="5">
        <f>Tabela_dados_base[[#This Row],[Visitas Diretas]]/Tabela_dados_base[[#This Row],[Visualizações]]</f>
        <v>0.15450643776824036</v>
      </c>
    </row>
    <row r="185" spans="1:18" x14ac:dyDescent="0.2">
      <c r="A185" t="s">
        <v>15</v>
      </c>
      <c r="B185" t="s">
        <v>16</v>
      </c>
      <c r="C185" t="s">
        <v>17</v>
      </c>
      <c r="D185">
        <v>1047</v>
      </c>
      <c r="E185" s="1">
        <v>44349</v>
      </c>
      <c r="F185" s="2">
        <v>63</v>
      </c>
      <c r="G185" s="2">
        <v>101</v>
      </c>
      <c r="H185" s="2">
        <v>0</v>
      </c>
      <c r="I185" s="2">
        <v>1580</v>
      </c>
      <c r="J185" s="2">
        <v>164</v>
      </c>
      <c r="K185" s="2">
        <v>28</v>
      </c>
      <c r="L185" s="2">
        <v>409</v>
      </c>
      <c r="M185" s="2">
        <f>Tabela_dados_base[[#This Row],[Clicks pagos]]+Tabela_dados_base[[#This Row],[Clicks redes sociais]]</f>
        <v>164</v>
      </c>
      <c r="N185" s="5">
        <f>IFERROR(Tabela_dados_base[[#This Row],[Clicks pagos]]/Tabela_dados_base[[#This Row],[Total de Clicks]],"")</f>
        <v>0</v>
      </c>
      <c r="O185" s="5">
        <f>IFERROR(Tabela_dados_base[[#This Row],[Clicks redes sociais]]/Tabela_dados_base[[#This Row],[Total de Clicks]],"")</f>
        <v>1</v>
      </c>
      <c r="P185" s="6">
        <f>Tabela_dados_base[[#This Row],[Total de Clicks]]/Tabela_dados_base[[#This Row],[Visualizações]]</f>
        <v>0.40097799511002447</v>
      </c>
      <c r="Q185" s="5">
        <f>Tabela_dados_base[[#This Row],[Vezes pesquisados]]/Tabela_dados_base[[#This Row],[Visualizações]]</f>
        <v>6.8459657701711488E-2</v>
      </c>
      <c r="R185" s="5">
        <f>Tabela_dados_base[[#This Row],[Visitas Diretas]]/Tabela_dados_base[[#This Row],[Visualizações]]</f>
        <v>0.15403422982885084</v>
      </c>
    </row>
    <row r="186" spans="1:18" x14ac:dyDescent="0.2">
      <c r="A186" t="s">
        <v>15</v>
      </c>
      <c r="B186" t="s">
        <v>16</v>
      </c>
      <c r="C186" t="s">
        <v>17</v>
      </c>
      <c r="D186">
        <v>1047</v>
      </c>
      <c r="E186" s="1">
        <v>44350</v>
      </c>
      <c r="F186" s="2">
        <v>29</v>
      </c>
      <c r="G186" s="2">
        <v>47</v>
      </c>
      <c r="H186" s="2">
        <v>0</v>
      </c>
      <c r="I186" s="2">
        <v>442</v>
      </c>
      <c r="J186" s="2">
        <v>76</v>
      </c>
      <c r="K186" s="2">
        <v>13</v>
      </c>
      <c r="L186" s="2">
        <v>173</v>
      </c>
      <c r="M186" s="2">
        <f>Tabela_dados_base[[#This Row],[Clicks pagos]]+Tabela_dados_base[[#This Row],[Clicks redes sociais]]</f>
        <v>76</v>
      </c>
      <c r="N186" s="5">
        <f>IFERROR(Tabela_dados_base[[#This Row],[Clicks pagos]]/Tabela_dados_base[[#This Row],[Total de Clicks]],"")</f>
        <v>0</v>
      </c>
      <c r="O186" s="5">
        <f>IFERROR(Tabela_dados_base[[#This Row],[Clicks redes sociais]]/Tabela_dados_base[[#This Row],[Total de Clicks]],"")</f>
        <v>1</v>
      </c>
      <c r="P186" s="6">
        <f>Tabela_dados_base[[#This Row],[Total de Clicks]]/Tabela_dados_base[[#This Row],[Visualizações]]</f>
        <v>0.43930635838150289</v>
      </c>
      <c r="Q186" s="5">
        <f>Tabela_dados_base[[#This Row],[Vezes pesquisados]]/Tabela_dados_base[[#This Row],[Visualizações]]</f>
        <v>7.5144508670520235E-2</v>
      </c>
      <c r="R186" s="5">
        <f>Tabela_dados_base[[#This Row],[Visitas Diretas]]/Tabela_dados_base[[#This Row],[Visualizações]]</f>
        <v>0.16763005780346821</v>
      </c>
    </row>
    <row r="187" spans="1:18" x14ac:dyDescent="0.2">
      <c r="A187" t="s">
        <v>15</v>
      </c>
      <c r="B187" t="s">
        <v>16</v>
      </c>
      <c r="C187" t="s">
        <v>17</v>
      </c>
      <c r="D187">
        <v>1047</v>
      </c>
      <c r="E187" s="1">
        <v>44351</v>
      </c>
      <c r="F187" s="2">
        <v>14</v>
      </c>
      <c r="G187" s="2">
        <v>22</v>
      </c>
      <c r="H187" s="2">
        <v>0</v>
      </c>
      <c r="I187" s="2">
        <v>430</v>
      </c>
      <c r="J187" s="2">
        <v>36</v>
      </c>
      <c r="K187" s="2">
        <v>6</v>
      </c>
      <c r="L187" s="2">
        <v>117</v>
      </c>
      <c r="M187" s="2">
        <f>Tabela_dados_base[[#This Row],[Clicks pagos]]+Tabela_dados_base[[#This Row],[Clicks redes sociais]]</f>
        <v>36</v>
      </c>
      <c r="N187" s="5">
        <f>IFERROR(Tabela_dados_base[[#This Row],[Clicks pagos]]/Tabela_dados_base[[#This Row],[Total de Clicks]],"")</f>
        <v>0</v>
      </c>
      <c r="O187" s="5">
        <f>IFERROR(Tabela_dados_base[[#This Row],[Clicks redes sociais]]/Tabela_dados_base[[#This Row],[Total de Clicks]],"")</f>
        <v>1</v>
      </c>
      <c r="P187" s="6">
        <f>Tabela_dados_base[[#This Row],[Total de Clicks]]/Tabela_dados_base[[#This Row],[Visualizações]]</f>
        <v>0.30769230769230771</v>
      </c>
      <c r="Q187" s="5">
        <f>Tabela_dados_base[[#This Row],[Vezes pesquisados]]/Tabela_dados_base[[#This Row],[Visualizações]]</f>
        <v>5.128205128205128E-2</v>
      </c>
      <c r="R187" s="5">
        <f>Tabela_dados_base[[#This Row],[Visitas Diretas]]/Tabela_dados_base[[#This Row],[Visualizações]]</f>
        <v>0.11965811965811966</v>
      </c>
    </row>
    <row r="188" spans="1:18" x14ac:dyDescent="0.2">
      <c r="A188" t="s">
        <v>15</v>
      </c>
      <c r="B188" t="s">
        <v>16</v>
      </c>
      <c r="C188" t="s">
        <v>17</v>
      </c>
      <c r="D188">
        <v>1047</v>
      </c>
      <c r="E188" s="1">
        <v>44352</v>
      </c>
      <c r="F188" s="2">
        <v>136</v>
      </c>
      <c r="G188" s="2">
        <v>217</v>
      </c>
      <c r="H188" s="2">
        <v>0</v>
      </c>
      <c r="I188" s="2">
        <v>2146</v>
      </c>
      <c r="J188" s="2">
        <v>353</v>
      </c>
      <c r="K188" s="2">
        <v>61</v>
      </c>
      <c r="L188" s="2">
        <v>702</v>
      </c>
      <c r="M188" s="2">
        <f>Tabela_dados_base[[#This Row],[Clicks pagos]]+Tabela_dados_base[[#This Row],[Clicks redes sociais]]</f>
        <v>353</v>
      </c>
      <c r="N188" s="5">
        <f>IFERROR(Tabela_dados_base[[#This Row],[Clicks pagos]]/Tabela_dados_base[[#This Row],[Total de Clicks]],"")</f>
        <v>0</v>
      </c>
      <c r="O188" s="5">
        <f>IFERROR(Tabela_dados_base[[#This Row],[Clicks redes sociais]]/Tabela_dados_base[[#This Row],[Total de Clicks]],"")</f>
        <v>1</v>
      </c>
      <c r="P188" s="6">
        <f>Tabela_dados_base[[#This Row],[Total de Clicks]]/Tabela_dados_base[[#This Row],[Visualizações]]</f>
        <v>0.5028490028490028</v>
      </c>
      <c r="Q188" s="5">
        <f>Tabela_dados_base[[#This Row],[Vezes pesquisados]]/Tabela_dados_base[[#This Row],[Visualizações]]</f>
        <v>8.68945868945869E-2</v>
      </c>
      <c r="R188" s="5">
        <f>Tabela_dados_base[[#This Row],[Visitas Diretas]]/Tabela_dados_base[[#This Row],[Visualizações]]</f>
        <v>0.19373219373219372</v>
      </c>
    </row>
    <row r="189" spans="1:18" x14ac:dyDescent="0.2">
      <c r="A189" t="s">
        <v>15</v>
      </c>
      <c r="B189" t="s">
        <v>16</v>
      </c>
      <c r="C189" t="s">
        <v>17</v>
      </c>
      <c r="D189">
        <v>1047</v>
      </c>
      <c r="E189" s="1">
        <v>44353</v>
      </c>
      <c r="F189" s="2">
        <v>294</v>
      </c>
      <c r="G189" s="2">
        <v>471</v>
      </c>
      <c r="H189" s="2">
        <v>0</v>
      </c>
      <c r="I189" s="2">
        <v>5686</v>
      </c>
      <c r="J189" s="2">
        <v>765</v>
      </c>
      <c r="K189" s="2">
        <v>132</v>
      </c>
      <c r="L189" s="2">
        <v>1495</v>
      </c>
      <c r="M189" s="2">
        <f>Tabela_dados_base[[#This Row],[Clicks pagos]]+Tabela_dados_base[[#This Row],[Clicks redes sociais]]</f>
        <v>765</v>
      </c>
      <c r="N189" s="5">
        <f>IFERROR(Tabela_dados_base[[#This Row],[Clicks pagos]]/Tabela_dados_base[[#This Row],[Total de Clicks]],"")</f>
        <v>0</v>
      </c>
      <c r="O189" s="5">
        <f>IFERROR(Tabela_dados_base[[#This Row],[Clicks redes sociais]]/Tabela_dados_base[[#This Row],[Total de Clicks]],"")</f>
        <v>1</v>
      </c>
      <c r="P189" s="6">
        <f>Tabela_dados_base[[#This Row],[Total de Clicks]]/Tabela_dados_base[[#This Row],[Visualizações]]</f>
        <v>0.51170568561872909</v>
      </c>
      <c r="Q189" s="5">
        <f>Tabela_dados_base[[#This Row],[Vezes pesquisados]]/Tabela_dados_base[[#This Row],[Visualizações]]</f>
        <v>8.8294314381270902E-2</v>
      </c>
      <c r="R189" s="5">
        <f>Tabela_dados_base[[#This Row],[Visitas Diretas]]/Tabela_dados_base[[#This Row],[Visualizações]]</f>
        <v>0.19665551839464884</v>
      </c>
    </row>
    <row r="190" spans="1:18" x14ac:dyDescent="0.2">
      <c r="A190" t="s">
        <v>15</v>
      </c>
      <c r="B190" t="s">
        <v>16</v>
      </c>
      <c r="C190" t="s">
        <v>17</v>
      </c>
      <c r="D190">
        <v>1047</v>
      </c>
      <c r="E190" s="1">
        <v>44354</v>
      </c>
      <c r="F190" s="2">
        <v>180</v>
      </c>
      <c r="G190" s="2">
        <v>288</v>
      </c>
      <c r="H190" s="2">
        <v>0</v>
      </c>
      <c r="I190" s="2">
        <v>1754</v>
      </c>
      <c r="J190" s="2">
        <v>467</v>
      </c>
      <c r="K190" s="2">
        <v>81</v>
      </c>
      <c r="L190" s="2">
        <v>964</v>
      </c>
      <c r="M190" s="2">
        <f>Tabela_dados_base[[#This Row],[Clicks pagos]]+Tabela_dados_base[[#This Row],[Clicks redes sociais]]</f>
        <v>467</v>
      </c>
      <c r="N190" s="5">
        <f>IFERROR(Tabela_dados_base[[#This Row],[Clicks pagos]]/Tabela_dados_base[[#This Row],[Total de Clicks]],"")</f>
        <v>0</v>
      </c>
      <c r="O190" s="5">
        <f>IFERROR(Tabela_dados_base[[#This Row],[Clicks redes sociais]]/Tabela_dados_base[[#This Row],[Total de Clicks]],"")</f>
        <v>1</v>
      </c>
      <c r="P190" s="6">
        <f>Tabela_dados_base[[#This Row],[Total de Clicks]]/Tabela_dados_base[[#This Row],[Visualizações]]</f>
        <v>0.48443983402489627</v>
      </c>
      <c r="Q190" s="5">
        <f>Tabela_dados_base[[#This Row],[Vezes pesquisados]]/Tabela_dados_base[[#This Row],[Visualizações]]</f>
        <v>8.4024896265560173E-2</v>
      </c>
      <c r="R190" s="5">
        <f>Tabela_dados_base[[#This Row],[Visitas Diretas]]/Tabela_dados_base[[#This Row],[Visualizações]]</f>
        <v>0.18672199170124482</v>
      </c>
    </row>
    <row r="191" spans="1:18" x14ac:dyDescent="0.2">
      <c r="A191" t="s">
        <v>15</v>
      </c>
      <c r="B191" t="s">
        <v>16</v>
      </c>
      <c r="C191" t="s">
        <v>17</v>
      </c>
      <c r="D191">
        <v>1047</v>
      </c>
      <c r="E191" s="1">
        <v>44355</v>
      </c>
      <c r="F191" s="2">
        <v>27</v>
      </c>
      <c r="G191" s="2">
        <v>43</v>
      </c>
      <c r="H191" s="2">
        <v>0</v>
      </c>
      <c r="I191" s="2">
        <v>285</v>
      </c>
      <c r="J191" s="2">
        <v>70</v>
      </c>
      <c r="K191" s="2">
        <v>12</v>
      </c>
      <c r="L191" s="2">
        <v>147</v>
      </c>
      <c r="M191" s="2">
        <f>Tabela_dados_base[[#This Row],[Clicks pagos]]+Tabela_dados_base[[#This Row],[Clicks redes sociais]]</f>
        <v>70</v>
      </c>
      <c r="N191" s="5">
        <f>IFERROR(Tabela_dados_base[[#This Row],[Clicks pagos]]/Tabela_dados_base[[#This Row],[Total de Clicks]],"")</f>
        <v>0</v>
      </c>
      <c r="O191" s="5">
        <f>IFERROR(Tabela_dados_base[[#This Row],[Clicks redes sociais]]/Tabela_dados_base[[#This Row],[Total de Clicks]],"")</f>
        <v>1</v>
      </c>
      <c r="P191" s="6">
        <f>Tabela_dados_base[[#This Row],[Total de Clicks]]/Tabela_dados_base[[#This Row],[Visualizações]]</f>
        <v>0.47619047619047616</v>
      </c>
      <c r="Q191" s="5">
        <f>Tabela_dados_base[[#This Row],[Vezes pesquisados]]/Tabela_dados_base[[#This Row],[Visualizações]]</f>
        <v>8.1632653061224483E-2</v>
      </c>
      <c r="R191" s="5">
        <f>Tabela_dados_base[[#This Row],[Visitas Diretas]]/Tabela_dados_base[[#This Row],[Visualizações]]</f>
        <v>0.18367346938775511</v>
      </c>
    </row>
    <row r="192" spans="1:18" x14ac:dyDescent="0.2">
      <c r="A192" t="s">
        <v>15</v>
      </c>
      <c r="B192" t="s">
        <v>16</v>
      </c>
      <c r="C192" t="s">
        <v>17</v>
      </c>
      <c r="D192">
        <v>1047</v>
      </c>
      <c r="E192" s="1">
        <v>44356</v>
      </c>
      <c r="F192" s="2">
        <v>28</v>
      </c>
      <c r="G192" s="2">
        <v>44</v>
      </c>
      <c r="H192" s="2">
        <v>0</v>
      </c>
      <c r="I192" s="2">
        <v>547</v>
      </c>
      <c r="J192" s="2">
        <v>72</v>
      </c>
      <c r="K192" s="2">
        <v>12</v>
      </c>
      <c r="L192" s="2">
        <v>162</v>
      </c>
      <c r="M192" s="2">
        <f>Tabela_dados_base[[#This Row],[Clicks pagos]]+Tabela_dados_base[[#This Row],[Clicks redes sociais]]</f>
        <v>72</v>
      </c>
      <c r="N192" s="5">
        <f>IFERROR(Tabela_dados_base[[#This Row],[Clicks pagos]]/Tabela_dados_base[[#This Row],[Total de Clicks]],"")</f>
        <v>0</v>
      </c>
      <c r="O192" s="5">
        <f>IFERROR(Tabela_dados_base[[#This Row],[Clicks redes sociais]]/Tabela_dados_base[[#This Row],[Total de Clicks]],"")</f>
        <v>1</v>
      </c>
      <c r="P192" s="6">
        <f>Tabela_dados_base[[#This Row],[Total de Clicks]]/Tabela_dados_base[[#This Row],[Visualizações]]</f>
        <v>0.44444444444444442</v>
      </c>
      <c r="Q192" s="5">
        <f>Tabela_dados_base[[#This Row],[Vezes pesquisados]]/Tabela_dados_base[[#This Row],[Visualizações]]</f>
        <v>7.407407407407407E-2</v>
      </c>
      <c r="R192" s="5">
        <f>Tabela_dados_base[[#This Row],[Visitas Diretas]]/Tabela_dados_base[[#This Row],[Visualizações]]</f>
        <v>0.1728395061728395</v>
      </c>
    </row>
    <row r="193" spans="1:18" x14ac:dyDescent="0.2">
      <c r="A193" t="s">
        <v>15</v>
      </c>
      <c r="B193" t="s">
        <v>16</v>
      </c>
      <c r="C193" t="s">
        <v>17</v>
      </c>
      <c r="D193">
        <v>1047</v>
      </c>
      <c r="E193" s="1">
        <v>44357</v>
      </c>
      <c r="F193" s="2">
        <v>35</v>
      </c>
      <c r="G193" s="2">
        <v>57</v>
      </c>
      <c r="H193" s="2">
        <v>0</v>
      </c>
      <c r="I193" s="2">
        <v>246</v>
      </c>
      <c r="J193" s="2">
        <v>92</v>
      </c>
      <c r="K193" s="2">
        <v>16</v>
      </c>
      <c r="L193" s="2">
        <v>191</v>
      </c>
      <c r="M193" s="2">
        <f>Tabela_dados_base[[#This Row],[Clicks pagos]]+Tabela_dados_base[[#This Row],[Clicks redes sociais]]</f>
        <v>92</v>
      </c>
      <c r="N193" s="5">
        <f>IFERROR(Tabela_dados_base[[#This Row],[Clicks pagos]]/Tabela_dados_base[[#This Row],[Total de Clicks]],"")</f>
        <v>0</v>
      </c>
      <c r="O193" s="5">
        <f>IFERROR(Tabela_dados_base[[#This Row],[Clicks redes sociais]]/Tabela_dados_base[[#This Row],[Total de Clicks]],"")</f>
        <v>1</v>
      </c>
      <c r="P193" s="6">
        <f>Tabela_dados_base[[#This Row],[Total de Clicks]]/Tabela_dados_base[[#This Row],[Visualizações]]</f>
        <v>0.48167539267015708</v>
      </c>
      <c r="Q193" s="5">
        <f>Tabela_dados_base[[#This Row],[Vezes pesquisados]]/Tabela_dados_base[[#This Row],[Visualizações]]</f>
        <v>8.3769633507853408E-2</v>
      </c>
      <c r="R193" s="5">
        <f>Tabela_dados_base[[#This Row],[Visitas Diretas]]/Tabela_dados_base[[#This Row],[Visualizações]]</f>
        <v>0.18324607329842932</v>
      </c>
    </row>
    <row r="194" spans="1:18" x14ac:dyDescent="0.2">
      <c r="A194" t="s">
        <v>15</v>
      </c>
      <c r="B194" t="s">
        <v>16</v>
      </c>
      <c r="C194" t="s">
        <v>17</v>
      </c>
      <c r="D194">
        <v>1047</v>
      </c>
      <c r="E194" s="1">
        <v>44358</v>
      </c>
      <c r="F194" s="2">
        <v>0</v>
      </c>
      <c r="G194" s="2">
        <v>0</v>
      </c>
      <c r="H194" s="2">
        <v>0</v>
      </c>
      <c r="I194" s="2">
        <v>191</v>
      </c>
      <c r="J194" s="2">
        <v>0</v>
      </c>
      <c r="K194" s="2">
        <v>0</v>
      </c>
      <c r="L194" s="2">
        <v>53</v>
      </c>
      <c r="M194" s="2">
        <f>Tabela_dados_base[[#This Row],[Clicks pagos]]+Tabela_dados_base[[#This Row],[Clicks redes sociais]]</f>
        <v>0</v>
      </c>
      <c r="N194" s="5" t="str">
        <f>IFERROR(Tabela_dados_base[[#This Row],[Clicks pagos]]/Tabela_dados_base[[#This Row],[Total de Clicks]],"")</f>
        <v/>
      </c>
      <c r="O194" s="5" t="str">
        <f>IFERROR(Tabela_dados_base[[#This Row],[Clicks redes sociais]]/Tabela_dados_base[[#This Row],[Total de Clicks]],"")</f>
        <v/>
      </c>
      <c r="P194" s="6">
        <f>Tabela_dados_base[[#This Row],[Total de Clicks]]/Tabela_dados_base[[#This Row],[Visualizações]]</f>
        <v>0</v>
      </c>
      <c r="Q194" s="5">
        <f>Tabela_dados_base[[#This Row],[Vezes pesquisados]]/Tabela_dados_base[[#This Row],[Visualizações]]</f>
        <v>0</v>
      </c>
      <c r="R194" s="5">
        <f>Tabela_dados_base[[#This Row],[Visitas Diretas]]/Tabela_dados_base[[#This Row],[Visualizações]]</f>
        <v>0</v>
      </c>
    </row>
    <row r="195" spans="1:18" x14ac:dyDescent="0.2">
      <c r="A195" t="s">
        <v>15</v>
      </c>
      <c r="B195" t="s">
        <v>16</v>
      </c>
      <c r="C195" t="s">
        <v>17</v>
      </c>
      <c r="D195">
        <v>1047</v>
      </c>
      <c r="E195" s="1">
        <v>44359</v>
      </c>
      <c r="F195" s="2">
        <v>9</v>
      </c>
      <c r="G195" s="2">
        <v>14</v>
      </c>
      <c r="H195" s="2">
        <v>0</v>
      </c>
      <c r="I195" s="2">
        <v>136</v>
      </c>
      <c r="J195" s="2">
        <v>23</v>
      </c>
      <c r="K195" s="2">
        <v>4</v>
      </c>
      <c r="L195" s="2">
        <v>45</v>
      </c>
      <c r="M195" s="2">
        <f>Tabela_dados_base[[#This Row],[Clicks pagos]]+Tabela_dados_base[[#This Row],[Clicks redes sociais]]</f>
        <v>23</v>
      </c>
      <c r="N195" s="5">
        <f>IFERROR(Tabela_dados_base[[#This Row],[Clicks pagos]]/Tabela_dados_base[[#This Row],[Total de Clicks]],"")</f>
        <v>0</v>
      </c>
      <c r="O195" s="5">
        <f>IFERROR(Tabela_dados_base[[#This Row],[Clicks redes sociais]]/Tabela_dados_base[[#This Row],[Total de Clicks]],"")</f>
        <v>1</v>
      </c>
      <c r="P195" s="6">
        <f>Tabela_dados_base[[#This Row],[Total de Clicks]]/Tabela_dados_base[[#This Row],[Visualizações]]</f>
        <v>0.51111111111111107</v>
      </c>
      <c r="Q195" s="5">
        <f>Tabela_dados_base[[#This Row],[Vezes pesquisados]]/Tabela_dados_base[[#This Row],[Visualizações]]</f>
        <v>8.8888888888888892E-2</v>
      </c>
      <c r="R195" s="5">
        <f>Tabela_dados_base[[#This Row],[Visitas Diretas]]/Tabela_dados_base[[#This Row],[Visualizações]]</f>
        <v>0.2</v>
      </c>
    </row>
    <row r="196" spans="1:18" x14ac:dyDescent="0.2">
      <c r="A196" t="s">
        <v>15</v>
      </c>
      <c r="B196" t="s">
        <v>16</v>
      </c>
      <c r="C196" t="s">
        <v>17</v>
      </c>
      <c r="D196">
        <v>1047</v>
      </c>
      <c r="E196" s="1">
        <v>44360</v>
      </c>
      <c r="F196" s="2">
        <v>12</v>
      </c>
      <c r="G196" s="2">
        <v>20</v>
      </c>
      <c r="H196" s="2">
        <v>0</v>
      </c>
      <c r="I196" s="2">
        <v>184</v>
      </c>
      <c r="J196" s="2">
        <v>32</v>
      </c>
      <c r="K196" s="2">
        <v>6</v>
      </c>
      <c r="L196" s="2">
        <v>77</v>
      </c>
      <c r="M196" s="2">
        <f>Tabela_dados_base[[#This Row],[Clicks pagos]]+Tabela_dados_base[[#This Row],[Clicks redes sociais]]</f>
        <v>32</v>
      </c>
      <c r="N196" s="5">
        <f>IFERROR(Tabela_dados_base[[#This Row],[Clicks pagos]]/Tabela_dados_base[[#This Row],[Total de Clicks]],"")</f>
        <v>0</v>
      </c>
      <c r="O196" s="5">
        <f>IFERROR(Tabela_dados_base[[#This Row],[Clicks redes sociais]]/Tabela_dados_base[[#This Row],[Total de Clicks]],"")</f>
        <v>1</v>
      </c>
      <c r="P196" s="6">
        <f>Tabela_dados_base[[#This Row],[Total de Clicks]]/Tabela_dados_base[[#This Row],[Visualizações]]</f>
        <v>0.41558441558441561</v>
      </c>
      <c r="Q196" s="5">
        <f>Tabela_dados_base[[#This Row],[Vezes pesquisados]]/Tabela_dados_base[[#This Row],[Visualizações]]</f>
        <v>7.792207792207792E-2</v>
      </c>
      <c r="R196" s="5">
        <f>Tabela_dados_base[[#This Row],[Visitas Diretas]]/Tabela_dados_base[[#This Row],[Visualizações]]</f>
        <v>0.15584415584415584</v>
      </c>
    </row>
    <row r="197" spans="1:18" x14ac:dyDescent="0.2">
      <c r="A197" t="s">
        <v>15</v>
      </c>
      <c r="B197" t="s">
        <v>16</v>
      </c>
      <c r="C197" t="s">
        <v>17</v>
      </c>
      <c r="D197">
        <v>1047</v>
      </c>
      <c r="E197" s="1">
        <v>44361</v>
      </c>
      <c r="F197" s="2">
        <v>40</v>
      </c>
      <c r="G197" s="2">
        <v>64</v>
      </c>
      <c r="H197" s="2">
        <v>0</v>
      </c>
      <c r="I197" s="2">
        <v>957</v>
      </c>
      <c r="J197" s="2">
        <v>104</v>
      </c>
      <c r="K197" s="2">
        <v>18</v>
      </c>
      <c r="L197" s="2">
        <v>257</v>
      </c>
      <c r="M197" s="2">
        <f>Tabela_dados_base[[#This Row],[Clicks pagos]]+Tabela_dados_base[[#This Row],[Clicks redes sociais]]</f>
        <v>104</v>
      </c>
      <c r="N197" s="5">
        <f>IFERROR(Tabela_dados_base[[#This Row],[Clicks pagos]]/Tabela_dados_base[[#This Row],[Total de Clicks]],"")</f>
        <v>0</v>
      </c>
      <c r="O197" s="5">
        <f>IFERROR(Tabela_dados_base[[#This Row],[Clicks redes sociais]]/Tabela_dados_base[[#This Row],[Total de Clicks]],"")</f>
        <v>1</v>
      </c>
      <c r="P197" s="6">
        <f>Tabela_dados_base[[#This Row],[Total de Clicks]]/Tabela_dados_base[[#This Row],[Visualizações]]</f>
        <v>0.40466926070038911</v>
      </c>
      <c r="Q197" s="5">
        <f>Tabela_dados_base[[#This Row],[Vezes pesquisados]]/Tabela_dados_base[[#This Row],[Visualizações]]</f>
        <v>7.0038910505836577E-2</v>
      </c>
      <c r="R197" s="5">
        <f>Tabela_dados_base[[#This Row],[Visitas Diretas]]/Tabela_dados_base[[#This Row],[Visualizações]]</f>
        <v>0.1556420233463035</v>
      </c>
    </row>
    <row r="198" spans="1:18" x14ac:dyDescent="0.2">
      <c r="A198" t="s">
        <v>15</v>
      </c>
      <c r="B198" t="s">
        <v>16</v>
      </c>
      <c r="C198" t="s">
        <v>17</v>
      </c>
      <c r="D198">
        <v>1047</v>
      </c>
      <c r="E198" s="1">
        <v>44363</v>
      </c>
      <c r="F198" s="2">
        <v>9</v>
      </c>
      <c r="G198" s="2">
        <v>14</v>
      </c>
      <c r="H198" s="2">
        <v>0</v>
      </c>
      <c r="I198" s="2">
        <v>123</v>
      </c>
      <c r="J198" s="2">
        <v>23</v>
      </c>
      <c r="K198" s="2">
        <v>4</v>
      </c>
      <c r="L198" s="2">
        <v>74</v>
      </c>
      <c r="M198" s="2">
        <f>Tabela_dados_base[[#This Row],[Clicks pagos]]+Tabela_dados_base[[#This Row],[Clicks redes sociais]]</f>
        <v>23</v>
      </c>
      <c r="N198" s="5">
        <f>IFERROR(Tabela_dados_base[[#This Row],[Clicks pagos]]/Tabela_dados_base[[#This Row],[Total de Clicks]],"")</f>
        <v>0</v>
      </c>
      <c r="O198" s="5">
        <f>IFERROR(Tabela_dados_base[[#This Row],[Clicks redes sociais]]/Tabela_dados_base[[#This Row],[Total de Clicks]],"")</f>
        <v>1</v>
      </c>
      <c r="P198" s="6">
        <f>Tabela_dados_base[[#This Row],[Total de Clicks]]/Tabela_dados_base[[#This Row],[Visualizações]]</f>
        <v>0.3108108108108108</v>
      </c>
      <c r="Q198" s="5">
        <f>Tabela_dados_base[[#This Row],[Vezes pesquisados]]/Tabela_dados_base[[#This Row],[Visualizações]]</f>
        <v>5.4054054054054057E-2</v>
      </c>
      <c r="R198" s="5">
        <f>Tabela_dados_base[[#This Row],[Visitas Diretas]]/Tabela_dados_base[[#This Row],[Visualizações]]</f>
        <v>0.12162162162162163</v>
      </c>
    </row>
    <row r="199" spans="1:18" x14ac:dyDescent="0.2">
      <c r="A199" t="s">
        <v>15</v>
      </c>
      <c r="B199" t="s">
        <v>16</v>
      </c>
      <c r="C199" t="s">
        <v>17</v>
      </c>
      <c r="D199">
        <v>1047</v>
      </c>
      <c r="E199" s="1">
        <v>44364</v>
      </c>
      <c r="F199" s="2">
        <v>0</v>
      </c>
      <c r="G199" s="2">
        <v>0</v>
      </c>
      <c r="H199" s="2">
        <v>0</v>
      </c>
      <c r="I199" s="2">
        <v>69</v>
      </c>
      <c r="J199" s="2">
        <v>0</v>
      </c>
      <c r="K199" s="2">
        <v>0</v>
      </c>
      <c r="L199" s="2">
        <v>21</v>
      </c>
      <c r="M199" s="2">
        <f>Tabela_dados_base[[#This Row],[Clicks pagos]]+Tabela_dados_base[[#This Row],[Clicks redes sociais]]</f>
        <v>0</v>
      </c>
      <c r="N199" s="5" t="str">
        <f>IFERROR(Tabela_dados_base[[#This Row],[Clicks pagos]]/Tabela_dados_base[[#This Row],[Total de Clicks]],"")</f>
        <v/>
      </c>
      <c r="O199" s="5" t="str">
        <f>IFERROR(Tabela_dados_base[[#This Row],[Clicks redes sociais]]/Tabela_dados_base[[#This Row],[Total de Clicks]],"")</f>
        <v/>
      </c>
      <c r="P199" s="6">
        <f>Tabela_dados_base[[#This Row],[Total de Clicks]]/Tabela_dados_base[[#This Row],[Visualizações]]</f>
        <v>0</v>
      </c>
      <c r="Q199" s="5">
        <f>Tabela_dados_base[[#This Row],[Vezes pesquisados]]/Tabela_dados_base[[#This Row],[Visualizações]]</f>
        <v>0</v>
      </c>
      <c r="R199" s="5">
        <f>Tabela_dados_base[[#This Row],[Visitas Diretas]]/Tabela_dados_base[[#This Row],[Visualizações]]</f>
        <v>0</v>
      </c>
    </row>
    <row r="200" spans="1:18" x14ac:dyDescent="0.2">
      <c r="A200" t="s">
        <v>15</v>
      </c>
      <c r="B200" t="s">
        <v>16</v>
      </c>
      <c r="C200" t="s">
        <v>17</v>
      </c>
      <c r="D200">
        <v>1047</v>
      </c>
      <c r="E200" s="1">
        <v>44365</v>
      </c>
      <c r="F200" s="2">
        <v>72</v>
      </c>
      <c r="G200" s="2">
        <v>115</v>
      </c>
      <c r="H200" s="2">
        <v>0</v>
      </c>
      <c r="I200" s="2">
        <v>892</v>
      </c>
      <c r="J200" s="2">
        <v>187</v>
      </c>
      <c r="K200" s="2">
        <v>32</v>
      </c>
      <c r="L200" s="2">
        <v>372</v>
      </c>
      <c r="M200" s="2">
        <f>Tabela_dados_base[[#This Row],[Clicks pagos]]+Tabela_dados_base[[#This Row],[Clicks redes sociais]]</f>
        <v>187</v>
      </c>
      <c r="N200" s="5">
        <f>IFERROR(Tabela_dados_base[[#This Row],[Clicks pagos]]/Tabela_dados_base[[#This Row],[Total de Clicks]],"")</f>
        <v>0</v>
      </c>
      <c r="O200" s="5">
        <f>IFERROR(Tabela_dados_base[[#This Row],[Clicks redes sociais]]/Tabela_dados_base[[#This Row],[Total de Clicks]],"")</f>
        <v>1</v>
      </c>
      <c r="P200" s="6">
        <f>Tabela_dados_base[[#This Row],[Total de Clicks]]/Tabela_dados_base[[#This Row],[Visualizações]]</f>
        <v>0.50268817204301075</v>
      </c>
      <c r="Q200" s="5">
        <f>Tabela_dados_base[[#This Row],[Vezes pesquisados]]/Tabela_dados_base[[#This Row],[Visualizações]]</f>
        <v>8.6021505376344093E-2</v>
      </c>
      <c r="R200" s="5">
        <f>Tabela_dados_base[[#This Row],[Visitas Diretas]]/Tabela_dados_base[[#This Row],[Visualizações]]</f>
        <v>0.19354838709677419</v>
      </c>
    </row>
    <row r="201" spans="1:18" x14ac:dyDescent="0.2">
      <c r="A201" t="s">
        <v>15</v>
      </c>
      <c r="B201" t="s">
        <v>16</v>
      </c>
      <c r="C201" t="s">
        <v>17</v>
      </c>
      <c r="D201">
        <v>1047</v>
      </c>
      <c r="E201" s="1">
        <v>44367</v>
      </c>
      <c r="F201" s="2">
        <v>90</v>
      </c>
      <c r="G201" s="2">
        <v>144</v>
      </c>
      <c r="H201" s="2">
        <v>0</v>
      </c>
      <c r="I201" s="2">
        <v>1111</v>
      </c>
      <c r="J201" s="2">
        <v>234</v>
      </c>
      <c r="K201" s="2">
        <v>41</v>
      </c>
      <c r="L201" s="2">
        <v>519</v>
      </c>
      <c r="M201" s="2">
        <f>Tabela_dados_base[[#This Row],[Clicks pagos]]+Tabela_dados_base[[#This Row],[Clicks redes sociais]]</f>
        <v>234</v>
      </c>
      <c r="N201" s="5">
        <f>IFERROR(Tabela_dados_base[[#This Row],[Clicks pagos]]/Tabela_dados_base[[#This Row],[Total de Clicks]],"")</f>
        <v>0</v>
      </c>
      <c r="O201" s="5">
        <f>IFERROR(Tabela_dados_base[[#This Row],[Clicks redes sociais]]/Tabela_dados_base[[#This Row],[Total de Clicks]],"")</f>
        <v>1</v>
      </c>
      <c r="P201" s="6">
        <f>Tabela_dados_base[[#This Row],[Total de Clicks]]/Tabela_dados_base[[#This Row],[Visualizações]]</f>
        <v>0.45086705202312138</v>
      </c>
      <c r="Q201" s="5">
        <f>Tabela_dados_base[[#This Row],[Vezes pesquisados]]/Tabela_dados_base[[#This Row],[Visualizações]]</f>
        <v>7.8998073217726394E-2</v>
      </c>
      <c r="R201" s="5">
        <f>Tabela_dados_base[[#This Row],[Visitas Diretas]]/Tabela_dados_base[[#This Row],[Visualizações]]</f>
        <v>0.17341040462427745</v>
      </c>
    </row>
    <row r="202" spans="1:18" x14ac:dyDescent="0.2">
      <c r="A202" t="s">
        <v>15</v>
      </c>
      <c r="B202" t="s">
        <v>16</v>
      </c>
      <c r="C202" t="s">
        <v>17</v>
      </c>
      <c r="D202">
        <v>1047</v>
      </c>
      <c r="E202" s="1">
        <v>44368</v>
      </c>
      <c r="F202" s="2">
        <v>22</v>
      </c>
      <c r="G202" s="2">
        <v>35</v>
      </c>
      <c r="H202" s="2">
        <v>0</v>
      </c>
      <c r="I202" s="2">
        <v>630</v>
      </c>
      <c r="J202" s="2">
        <v>56</v>
      </c>
      <c r="K202" s="2">
        <v>10</v>
      </c>
      <c r="L202" s="2">
        <v>162</v>
      </c>
      <c r="M202" s="2">
        <f>Tabela_dados_base[[#This Row],[Clicks pagos]]+Tabela_dados_base[[#This Row],[Clicks redes sociais]]</f>
        <v>56</v>
      </c>
      <c r="N202" s="5">
        <f>IFERROR(Tabela_dados_base[[#This Row],[Clicks pagos]]/Tabela_dados_base[[#This Row],[Total de Clicks]],"")</f>
        <v>0</v>
      </c>
      <c r="O202" s="5">
        <f>IFERROR(Tabela_dados_base[[#This Row],[Clicks redes sociais]]/Tabela_dados_base[[#This Row],[Total de Clicks]],"")</f>
        <v>1</v>
      </c>
      <c r="P202" s="6">
        <f>Tabela_dados_base[[#This Row],[Total de Clicks]]/Tabela_dados_base[[#This Row],[Visualizações]]</f>
        <v>0.34567901234567899</v>
      </c>
      <c r="Q202" s="5">
        <f>Tabela_dados_base[[#This Row],[Vezes pesquisados]]/Tabela_dados_base[[#This Row],[Visualizações]]</f>
        <v>6.1728395061728392E-2</v>
      </c>
      <c r="R202" s="5">
        <f>Tabela_dados_base[[#This Row],[Visitas Diretas]]/Tabela_dados_base[[#This Row],[Visualizações]]</f>
        <v>0.13580246913580246</v>
      </c>
    </row>
    <row r="203" spans="1:18" x14ac:dyDescent="0.2">
      <c r="A203" t="s">
        <v>15</v>
      </c>
      <c r="B203" t="s">
        <v>16</v>
      </c>
      <c r="C203" t="s">
        <v>17</v>
      </c>
      <c r="D203">
        <v>1047</v>
      </c>
      <c r="E203" s="1">
        <v>44369</v>
      </c>
      <c r="F203" s="2">
        <v>38</v>
      </c>
      <c r="G203" s="2">
        <v>61</v>
      </c>
      <c r="H203" s="2">
        <v>0</v>
      </c>
      <c r="I203" s="2">
        <v>602</v>
      </c>
      <c r="J203" s="2">
        <v>99</v>
      </c>
      <c r="K203" s="2">
        <v>17</v>
      </c>
      <c r="L203" s="2">
        <v>198</v>
      </c>
      <c r="M203" s="2">
        <f>Tabela_dados_base[[#This Row],[Clicks pagos]]+Tabela_dados_base[[#This Row],[Clicks redes sociais]]</f>
        <v>99</v>
      </c>
      <c r="N203" s="5">
        <f>IFERROR(Tabela_dados_base[[#This Row],[Clicks pagos]]/Tabela_dados_base[[#This Row],[Total de Clicks]],"")</f>
        <v>0</v>
      </c>
      <c r="O203" s="5">
        <f>IFERROR(Tabela_dados_base[[#This Row],[Clicks redes sociais]]/Tabela_dados_base[[#This Row],[Total de Clicks]],"")</f>
        <v>1</v>
      </c>
      <c r="P203" s="6">
        <f>Tabela_dados_base[[#This Row],[Total de Clicks]]/Tabela_dados_base[[#This Row],[Visualizações]]</f>
        <v>0.5</v>
      </c>
      <c r="Q203" s="5">
        <f>Tabela_dados_base[[#This Row],[Vezes pesquisados]]/Tabela_dados_base[[#This Row],[Visualizações]]</f>
        <v>8.5858585858585856E-2</v>
      </c>
      <c r="R203" s="5">
        <f>Tabela_dados_base[[#This Row],[Visitas Diretas]]/Tabela_dados_base[[#This Row],[Visualizações]]</f>
        <v>0.19191919191919191</v>
      </c>
    </row>
    <row r="204" spans="1:18" x14ac:dyDescent="0.2">
      <c r="A204" t="s">
        <v>15</v>
      </c>
      <c r="B204" t="s">
        <v>16</v>
      </c>
      <c r="C204" t="s">
        <v>17</v>
      </c>
      <c r="D204">
        <v>1047</v>
      </c>
      <c r="E204" s="1">
        <v>44371</v>
      </c>
      <c r="F204" s="2">
        <v>98</v>
      </c>
      <c r="G204" s="2">
        <v>156</v>
      </c>
      <c r="H204" s="2">
        <v>0</v>
      </c>
      <c r="I204" s="2">
        <v>1725</v>
      </c>
      <c r="J204" s="2">
        <v>254</v>
      </c>
      <c r="K204" s="2">
        <v>44</v>
      </c>
      <c r="L204" s="2">
        <v>543</v>
      </c>
      <c r="M204" s="2">
        <f>Tabela_dados_base[[#This Row],[Clicks pagos]]+Tabela_dados_base[[#This Row],[Clicks redes sociais]]</f>
        <v>254</v>
      </c>
      <c r="N204" s="5">
        <f>IFERROR(Tabela_dados_base[[#This Row],[Clicks pagos]]/Tabela_dados_base[[#This Row],[Total de Clicks]],"")</f>
        <v>0</v>
      </c>
      <c r="O204" s="5">
        <f>IFERROR(Tabela_dados_base[[#This Row],[Clicks redes sociais]]/Tabela_dados_base[[#This Row],[Total de Clicks]],"")</f>
        <v>1</v>
      </c>
      <c r="P204" s="6">
        <f>Tabela_dados_base[[#This Row],[Total de Clicks]]/Tabela_dados_base[[#This Row],[Visualizações]]</f>
        <v>0.4677716390423573</v>
      </c>
      <c r="Q204" s="5">
        <f>Tabela_dados_base[[#This Row],[Vezes pesquisados]]/Tabela_dados_base[[#This Row],[Visualizações]]</f>
        <v>8.1031307550644568E-2</v>
      </c>
      <c r="R204" s="5">
        <f>Tabela_dados_base[[#This Row],[Visitas Diretas]]/Tabela_dados_base[[#This Row],[Visualizações]]</f>
        <v>0.18047882136279927</v>
      </c>
    </row>
    <row r="205" spans="1:18" x14ac:dyDescent="0.2">
      <c r="A205" t="s">
        <v>15</v>
      </c>
      <c r="B205" t="s">
        <v>16</v>
      </c>
      <c r="C205" t="s">
        <v>17</v>
      </c>
      <c r="D205">
        <v>1047</v>
      </c>
      <c r="E205" s="1">
        <v>44373</v>
      </c>
      <c r="F205" s="2">
        <v>0</v>
      </c>
      <c r="G205" s="2">
        <v>0</v>
      </c>
      <c r="H205" s="2">
        <v>0</v>
      </c>
      <c r="I205" s="2">
        <v>57</v>
      </c>
      <c r="J205" s="2">
        <v>0</v>
      </c>
      <c r="K205" s="2">
        <v>0</v>
      </c>
      <c r="L205" s="2">
        <v>25</v>
      </c>
      <c r="M205" s="2">
        <f>Tabela_dados_base[[#This Row],[Clicks pagos]]+Tabela_dados_base[[#This Row],[Clicks redes sociais]]</f>
        <v>0</v>
      </c>
      <c r="N205" s="5" t="str">
        <f>IFERROR(Tabela_dados_base[[#This Row],[Clicks pagos]]/Tabela_dados_base[[#This Row],[Total de Clicks]],"")</f>
        <v/>
      </c>
      <c r="O205" s="5" t="str">
        <f>IFERROR(Tabela_dados_base[[#This Row],[Clicks redes sociais]]/Tabela_dados_base[[#This Row],[Total de Clicks]],"")</f>
        <v/>
      </c>
      <c r="P205" s="6">
        <f>Tabela_dados_base[[#This Row],[Total de Clicks]]/Tabela_dados_base[[#This Row],[Visualizações]]</f>
        <v>0</v>
      </c>
      <c r="Q205" s="5">
        <f>Tabela_dados_base[[#This Row],[Vezes pesquisados]]/Tabela_dados_base[[#This Row],[Visualizações]]</f>
        <v>0</v>
      </c>
      <c r="R205" s="5">
        <f>Tabela_dados_base[[#This Row],[Visitas Diretas]]/Tabela_dados_base[[#This Row],[Visualizações]]</f>
        <v>0</v>
      </c>
    </row>
    <row r="206" spans="1:18" x14ac:dyDescent="0.2">
      <c r="A206" t="s">
        <v>15</v>
      </c>
      <c r="B206" t="s">
        <v>16</v>
      </c>
      <c r="C206" t="s">
        <v>17</v>
      </c>
      <c r="D206">
        <v>1047</v>
      </c>
      <c r="E206" s="1">
        <v>44374</v>
      </c>
      <c r="F206" s="2">
        <v>0</v>
      </c>
      <c r="G206" s="2">
        <v>0</v>
      </c>
      <c r="H206" s="2">
        <v>0</v>
      </c>
      <c r="I206" s="2">
        <v>21</v>
      </c>
      <c r="J206" s="2">
        <v>0</v>
      </c>
      <c r="K206" s="2">
        <v>0</v>
      </c>
      <c r="L206" s="2">
        <v>13</v>
      </c>
      <c r="M206" s="2">
        <f>Tabela_dados_base[[#This Row],[Clicks pagos]]+Tabela_dados_base[[#This Row],[Clicks redes sociais]]</f>
        <v>0</v>
      </c>
      <c r="N206" s="5" t="str">
        <f>IFERROR(Tabela_dados_base[[#This Row],[Clicks pagos]]/Tabela_dados_base[[#This Row],[Total de Clicks]],"")</f>
        <v/>
      </c>
      <c r="O206" s="5" t="str">
        <f>IFERROR(Tabela_dados_base[[#This Row],[Clicks redes sociais]]/Tabela_dados_base[[#This Row],[Total de Clicks]],"")</f>
        <v/>
      </c>
      <c r="P206" s="6">
        <f>Tabela_dados_base[[#This Row],[Total de Clicks]]/Tabela_dados_base[[#This Row],[Visualizações]]</f>
        <v>0</v>
      </c>
      <c r="Q206" s="5">
        <f>Tabela_dados_base[[#This Row],[Vezes pesquisados]]/Tabela_dados_base[[#This Row],[Visualizações]]</f>
        <v>0</v>
      </c>
      <c r="R206" s="5">
        <f>Tabela_dados_base[[#This Row],[Visitas Diretas]]/Tabela_dados_base[[#This Row],[Visualizações]]</f>
        <v>0</v>
      </c>
    </row>
    <row r="207" spans="1:18" x14ac:dyDescent="0.2">
      <c r="A207" t="s">
        <v>15</v>
      </c>
      <c r="B207" t="s">
        <v>16</v>
      </c>
      <c r="C207" t="s">
        <v>17</v>
      </c>
      <c r="D207">
        <v>1047</v>
      </c>
      <c r="E207" s="1">
        <v>44377</v>
      </c>
      <c r="F207" s="2">
        <v>0</v>
      </c>
      <c r="G207" s="2">
        <v>0</v>
      </c>
      <c r="H207" s="2">
        <v>0</v>
      </c>
      <c r="I207" s="2">
        <v>88</v>
      </c>
      <c r="J207" s="2">
        <v>0</v>
      </c>
      <c r="K207" s="2">
        <v>0</v>
      </c>
      <c r="L207" s="2">
        <v>70</v>
      </c>
      <c r="M207" s="2">
        <f>Tabela_dados_base[[#This Row],[Clicks pagos]]+Tabela_dados_base[[#This Row],[Clicks redes sociais]]</f>
        <v>0</v>
      </c>
      <c r="N207" s="5" t="str">
        <f>IFERROR(Tabela_dados_base[[#This Row],[Clicks pagos]]/Tabela_dados_base[[#This Row],[Total de Clicks]],"")</f>
        <v/>
      </c>
      <c r="O207" s="5" t="str">
        <f>IFERROR(Tabela_dados_base[[#This Row],[Clicks redes sociais]]/Tabela_dados_base[[#This Row],[Total de Clicks]],"")</f>
        <v/>
      </c>
      <c r="P207" s="6">
        <f>Tabela_dados_base[[#This Row],[Total de Clicks]]/Tabela_dados_base[[#This Row],[Visualizações]]</f>
        <v>0</v>
      </c>
      <c r="Q207" s="5">
        <f>Tabela_dados_base[[#This Row],[Vezes pesquisados]]/Tabela_dados_base[[#This Row],[Visualizações]]</f>
        <v>0</v>
      </c>
      <c r="R207" s="5">
        <f>Tabela_dados_base[[#This Row],[Visitas Diretas]]/Tabela_dados_base[[#This Row],[Visualizações]]</f>
        <v>0</v>
      </c>
    </row>
    <row r="208" spans="1:18" x14ac:dyDescent="0.2">
      <c r="A208" t="s">
        <v>15</v>
      </c>
      <c r="B208" t="s">
        <v>16</v>
      </c>
      <c r="C208" t="s">
        <v>17</v>
      </c>
      <c r="D208">
        <v>1047</v>
      </c>
      <c r="E208" s="1">
        <v>44379</v>
      </c>
      <c r="F208" s="2">
        <v>5</v>
      </c>
      <c r="G208" s="2">
        <v>8</v>
      </c>
      <c r="H208" s="2">
        <v>0</v>
      </c>
      <c r="I208" s="2">
        <v>116</v>
      </c>
      <c r="J208" s="2">
        <v>14</v>
      </c>
      <c r="K208" s="2">
        <v>2</v>
      </c>
      <c r="L208" s="2">
        <v>64</v>
      </c>
      <c r="M208" s="2">
        <f>Tabela_dados_base[[#This Row],[Clicks pagos]]+Tabela_dados_base[[#This Row],[Clicks redes sociais]]</f>
        <v>14</v>
      </c>
      <c r="N208" s="5">
        <f>IFERROR(Tabela_dados_base[[#This Row],[Clicks pagos]]/Tabela_dados_base[[#This Row],[Total de Clicks]],"")</f>
        <v>0</v>
      </c>
      <c r="O208" s="5">
        <f>IFERROR(Tabela_dados_base[[#This Row],[Clicks redes sociais]]/Tabela_dados_base[[#This Row],[Total de Clicks]],"")</f>
        <v>1</v>
      </c>
      <c r="P208" s="6">
        <f>Tabela_dados_base[[#This Row],[Total de Clicks]]/Tabela_dados_base[[#This Row],[Visualizações]]</f>
        <v>0.21875</v>
      </c>
      <c r="Q208" s="5">
        <f>Tabela_dados_base[[#This Row],[Vezes pesquisados]]/Tabela_dados_base[[#This Row],[Visualizações]]</f>
        <v>3.125E-2</v>
      </c>
      <c r="R208" s="5">
        <f>Tabela_dados_base[[#This Row],[Visitas Diretas]]/Tabela_dados_base[[#This Row],[Visualizações]]</f>
        <v>7.8125E-2</v>
      </c>
    </row>
    <row r="209" spans="1:18" x14ac:dyDescent="0.2">
      <c r="A209" t="s">
        <v>15</v>
      </c>
      <c r="B209" t="s">
        <v>16</v>
      </c>
      <c r="C209" t="s">
        <v>17</v>
      </c>
      <c r="D209">
        <v>1047</v>
      </c>
      <c r="E209" s="1">
        <v>44380</v>
      </c>
      <c r="F209" s="2">
        <v>66</v>
      </c>
      <c r="G209" s="2">
        <v>105</v>
      </c>
      <c r="H209" s="2">
        <v>0</v>
      </c>
      <c r="I209" s="2">
        <v>410</v>
      </c>
      <c r="J209" s="2">
        <v>171</v>
      </c>
      <c r="K209" s="2">
        <v>30</v>
      </c>
      <c r="L209" s="2">
        <v>354</v>
      </c>
      <c r="M209" s="2">
        <f>Tabela_dados_base[[#This Row],[Clicks pagos]]+Tabela_dados_base[[#This Row],[Clicks redes sociais]]</f>
        <v>171</v>
      </c>
      <c r="N209" s="5">
        <f>IFERROR(Tabela_dados_base[[#This Row],[Clicks pagos]]/Tabela_dados_base[[#This Row],[Total de Clicks]],"")</f>
        <v>0</v>
      </c>
      <c r="O209" s="5">
        <f>IFERROR(Tabela_dados_base[[#This Row],[Clicks redes sociais]]/Tabela_dados_base[[#This Row],[Total de Clicks]],"")</f>
        <v>1</v>
      </c>
      <c r="P209" s="6">
        <f>Tabela_dados_base[[#This Row],[Total de Clicks]]/Tabela_dados_base[[#This Row],[Visualizações]]</f>
        <v>0.48305084745762711</v>
      </c>
      <c r="Q209" s="5">
        <f>Tabela_dados_base[[#This Row],[Vezes pesquisados]]/Tabela_dados_base[[#This Row],[Visualizações]]</f>
        <v>8.4745762711864403E-2</v>
      </c>
      <c r="R209" s="5">
        <f>Tabela_dados_base[[#This Row],[Visitas Diretas]]/Tabela_dados_base[[#This Row],[Visualizações]]</f>
        <v>0.1864406779661017</v>
      </c>
    </row>
    <row r="210" spans="1:18" x14ac:dyDescent="0.2">
      <c r="A210" t="s">
        <v>15</v>
      </c>
      <c r="B210" t="s">
        <v>16</v>
      </c>
      <c r="C210" t="s">
        <v>17</v>
      </c>
      <c r="D210">
        <v>1047</v>
      </c>
      <c r="E210" s="1">
        <v>44381</v>
      </c>
      <c r="F210" s="2">
        <v>30</v>
      </c>
      <c r="G210" s="2">
        <v>47</v>
      </c>
      <c r="H210" s="2">
        <v>0</v>
      </c>
      <c r="I210" s="2">
        <v>693</v>
      </c>
      <c r="J210" s="2">
        <v>77</v>
      </c>
      <c r="K210" s="2">
        <v>13</v>
      </c>
      <c r="L210" s="2">
        <v>238</v>
      </c>
      <c r="M210" s="2">
        <f>Tabela_dados_base[[#This Row],[Clicks pagos]]+Tabela_dados_base[[#This Row],[Clicks redes sociais]]</f>
        <v>77</v>
      </c>
      <c r="N210" s="5">
        <f>IFERROR(Tabela_dados_base[[#This Row],[Clicks pagos]]/Tabela_dados_base[[#This Row],[Total de Clicks]],"")</f>
        <v>0</v>
      </c>
      <c r="O210" s="5">
        <f>IFERROR(Tabela_dados_base[[#This Row],[Clicks redes sociais]]/Tabela_dados_base[[#This Row],[Total de Clicks]],"")</f>
        <v>1</v>
      </c>
      <c r="P210" s="6">
        <f>Tabela_dados_base[[#This Row],[Total de Clicks]]/Tabela_dados_base[[#This Row],[Visualizações]]</f>
        <v>0.3235294117647059</v>
      </c>
      <c r="Q210" s="5">
        <f>Tabela_dados_base[[#This Row],[Vezes pesquisados]]/Tabela_dados_base[[#This Row],[Visualizações]]</f>
        <v>5.4621848739495799E-2</v>
      </c>
      <c r="R210" s="5">
        <f>Tabela_dados_base[[#This Row],[Visitas Diretas]]/Tabela_dados_base[[#This Row],[Visualizações]]</f>
        <v>0.12605042016806722</v>
      </c>
    </row>
    <row r="211" spans="1:18" x14ac:dyDescent="0.2">
      <c r="A211" t="s">
        <v>15</v>
      </c>
      <c r="B211" t="s">
        <v>16</v>
      </c>
      <c r="C211" t="s">
        <v>17</v>
      </c>
      <c r="D211">
        <v>1047</v>
      </c>
      <c r="E211" s="1">
        <v>44382</v>
      </c>
      <c r="F211" s="2">
        <v>13</v>
      </c>
      <c r="G211" s="2">
        <v>21</v>
      </c>
      <c r="H211" s="2">
        <v>0</v>
      </c>
      <c r="I211" s="2">
        <v>222</v>
      </c>
      <c r="J211" s="2">
        <v>34</v>
      </c>
      <c r="K211" s="2">
        <v>6</v>
      </c>
      <c r="L211" s="2">
        <v>104</v>
      </c>
      <c r="M211" s="2">
        <f>Tabela_dados_base[[#This Row],[Clicks pagos]]+Tabela_dados_base[[#This Row],[Clicks redes sociais]]</f>
        <v>34</v>
      </c>
      <c r="N211" s="5">
        <f>IFERROR(Tabela_dados_base[[#This Row],[Clicks pagos]]/Tabela_dados_base[[#This Row],[Total de Clicks]],"")</f>
        <v>0</v>
      </c>
      <c r="O211" s="5">
        <f>IFERROR(Tabela_dados_base[[#This Row],[Clicks redes sociais]]/Tabela_dados_base[[#This Row],[Total de Clicks]],"")</f>
        <v>1</v>
      </c>
      <c r="P211" s="6">
        <f>Tabela_dados_base[[#This Row],[Total de Clicks]]/Tabela_dados_base[[#This Row],[Visualizações]]</f>
        <v>0.32692307692307693</v>
      </c>
      <c r="Q211" s="5">
        <f>Tabela_dados_base[[#This Row],[Vezes pesquisados]]/Tabela_dados_base[[#This Row],[Visualizações]]</f>
        <v>5.7692307692307696E-2</v>
      </c>
      <c r="R211" s="5">
        <f>Tabela_dados_base[[#This Row],[Visitas Diretas]]/Tabela_dados_base[[#This Row],[Visualizações]]</f>
        <v>0.125</v>
      </c>
    </row>
    <row r="212" spans="1:18" x14ac:dyDescent="0.2">
      <c r="A212" t="s">
        <v>15</v>
      </c>
      <c r="B212" t="s">
        <v>16</v>
      </c>
      <c r="C212" t="s">
        <v>17</v>
      </c>
      <c r="D212">
        <v>1047</v>
      </c>
      <c r="E212" s="1">
        <v>44386</v>
      </c>
      <c r="F212" s="2">
        <v>24</v>
      </c>
      <c r="G212" s="2">
        <v>38</v>
      </c>
      <c r="H212" s="2">
        <v>0</v>
      </c>
      <c r="I212" s="2">
        <v>339</v>
      </c>
      <c r="J212" s="2">
        <v>62</v>
      </c>
      <c r="K212" s="2">
        <v>11</v>
      </c>
      <c r="L212" s="2">
        <v>164</v>
      </c>
      <c r="M212" s="2">
        <f>Tabela_dados_base[[#This Row],[Clicks pagos]]+Tabela_dados_base[[#This Row],[Clicks redes sociais]]</f>
        <v>62</v>
      </c>
      <c r="N212" s="5">
        <f>IFERROR(Tabela_dados_base[[#This Row],[Clicks pagos]]/Tabela_dados_base[[#This Row],[Total de Clicks]],"")</f>
        <v>0</v>
      </c>
      <c r="O212" s="5">
        <f>IFERROR(Tabela_dados_base[[#This Row],[Clicks redes sociais]]/Tabela_dados_base[[#This Row],[Total de Clicks]],"")</f>
        <v>1</v>
      </c>
      <c r="P212" s="6">
        <f>Tabela_dados_base[[#This Row],[Total de Clicks]]/Tabela_dados_base[[#This Row],[Visualizações]]</f>
        <v>0.37804878048780488</v>
      </c>
      <c r="Q212" s="5">
        <f>Tabela_dados_base[[#This Row],[Vezes pesquisados]]/Tabela_dados_base[[#This Row],[Visualizações]]</f>
        <v>6.7073170731707321E-2</v>
      </c>
      <c r="R212" s="5">
        <f>Tabela_dados_base[[#This Row],[Visitas Diretas]]/Tabela_dados_base[[#This Row],[Visualizações]]</f>
        <v>0.14634146341463414</v>
      </c>
    </row>
    <row r="213" spans="1:18" x14ac:dyDescent="0.2">
      <c r="A213" t="s">
        <v>15</v>
      </c>
      <c r="B213" t="s">
        <v>16</v>
      </c>
      <c r="C213" t="s">
        <v>17</v>
      </c>
      <c r="D213">
        <v>1047</v>
      </c>
      <c r="E213" s="1">
        <v>44388</v>
      </c>
      <c r="F213" s="2">
        <v>46</v>
      </c>
      <c r="G213" s="2">
        <v>73</v>
      </c>
      <c r="H213" s="2">
        <v>0</v>
      </c>
      <c r="I213" s="2">
        <v>604</v>
      </c>
      <c r="J213" s="2">
        <v>119</v>
      </c>
      <c r="K213" s="2">
        <v>21</v>
      </c>
      <c r="L213" s="2">
        <v>245</v>
      </c>
      <c r="M213" s="2">
        <f>Tabela_dados_base[[#This Row],[Clicks pagos]]+Tabela_dados_base[[#This Row],[Clicks redes sociais]]</f>
        <v>119</v>
      </c>
      <c r="N213" s="5">
        <f>IFERROR(Tabela_dados_base[[#This Row],[Clicks pagos]]/Tabela_dados_base[[#This Row],[Total de Clicks]],"")</f>
        <v>0</v>
      </c>
      <c r="O213" s="5">
        <f>IFERROR(Tabela_dados_base[[#This Row],[Clicks redes sociais]]/Tabela_dados_base[[#This Row],[Total de Clicks]],"")</f>
        <v>1</v>
      </c>
      <c r="P213" s="6">
        <f>Tabela_dados_base[[#This Row],[Total de Clicks]]/Tabela_dados_base[[#This Row],[Visualizações]]</f>
        <v>0.48571428571428571</v>
      </c>
      <c r="Q213" s="5">
        <f>Tabela_dados_base[[#This Row],[Vezes pesquisados]]/Tabela_dados_base[[#This Row],[Visualizações]]</f>
        <v>8.5714285714285715E-2</v>
      </c>
      <c r="R213" s="5">
        <f>Tabela_dados_base[[#This Row],[Visitas Diretas]]/Tabela_dados_base[[#This Row],[Visualizações]]</f>
        <v>0.18775510204081633</v>
      </c>
    </row>
    <row r="214" spans="1:18" x14ac:dyDescent="0.2">
      <c r="A214" t="s">
        <v>15</v>
      </c>
      <c r="B214" t="s">
        <v>16</v>
      </c>
      <c r="C214" t="s">
        <v>17</v>
      </c>
      <c r="D214">
        <v>1047</v>
      </c>
      <c r="E214" s="1">
        <v>44389</v>
      </c>
      <c r="F214" s="2">
        <v>14</v>
      </c>
      <c r="G214" s="2">
        <v>22</v>
      </c>
      <c r="H214" s="2">
        <v>0</v>
      </c>
      <c r="I214" s="2">
        <v>218</v>
      </c>
      <c r="J214" s="2">
        <v>35</v>
      </c>
      <c r="K214" s="2">
        <v>6</v>
      </c>
      <c r="L214" s="2">
        <v>100</v>
      </c>
      <c r="M214" s="2">
        <f>Tabela_dados_base[[#This Row],[Clicks pagos]]+Tabela_dados_base[[#This Row],[Clicks redes sociais]]</f>
        <v>35</v>
      </c>
      <c r="N214" s="5">
        <f>IFERROR(Tabela_dados_base[[#This Row],[Clicks pagos]]/Tabela_dados_base[[#This Row],[Total de Clicks]],"")</f>
        <v>0</v>
      </c>
      <c r="O214" s="5">
        <f>IFERROR(Tabela_dados_base[[#This Row],[Clicks redes sociais]]/Tabela_dados_base[[#This Row],[Total de Clicks]],"")</f>
        <v>1</v>
      </c>
      <c r="P214" s="6">
        <f>Tabela_dados_base[[#This Row],[Total de Clicks]]/Tabela_dados_base[[#This Row],[Visualizações]]</f>
        <v>0.35</v>
      </c>
      <c r="Q214" s="5">
        <f>Tabela_dados_base[[#This Row],[Vezes pesquisados]]/Tabela_dados_base[[#This Row],[Visualizações]]</f>
        <v>0.06</v>
      </c>
      <c r="R214" s="5">
        <f>Tabela_dados_base[[#This Row],[Visitas Diretas]]/Tabela_dados_base[[#This Row],[Visualizações]]</f>
        <v>0.14000000000000001</v>
      </c>
    </row>
    <row r="215" spans="1:18" x14ac:dyDescent="0.2">
      <c r="A215" t="s">
        <v>15</v>
      </c>
      <c r="B215" t="s">
        <v>16</v>
      </c>
      <c r="C215" t="s">
        <v>17</v>
      </c>
      <c r="D215">
        <v>1047</v>
      </c>
      <c r="E215" s="1">
        <v>44390</v>
      </c>
      <c r="F215" s="2">
        <v>61</v>
      </c>
      <c r="G215" s="2">
        <v>98</v>
      </c>
      <c r="H215" s="2">
        <v>0</v>
      </c>
      <c r="I215" s="2">
        <v>640</v>
      </c>
      <c r="J215" s="2">
        <v>159</v>
      </c>
      <c r="K215" s="2">
        <v>28</v>
      </c>
      <c r="L215" s="2">
        <v>381</v>
      </c>
      <c r="M215" s="2">
        <f>Tabela_dados_base[[#This Row],[Clicks pagos]]+Tabela_dados_base[[#This Row],[Clicks redes sociais]]</f>
        <v>159</v>
      </c>
      <c r="N215" s="5">
        <f>IFERROR(Tabela_dados_base[[#This Row],[Clicks pagos]]/Tabela_dados_base[[#This Row],[Total de Clicks]],"")</f>
        <v>0</v>
      </c>
      <c r="O215" s="5">
        <f>IFERROR(Tabela_dados_base[[#This Row],[Clicks redes sociais]]/Tabela_dados_base[[#This Row],[Total de Clicks]],"")</f>
        <v>1</v>
      </c>
      <c r="P215" s="6">
        <f>Tabela_dados_base[[#This Row],[Total de Clicks]]/Tabela_dados_base[[#This Row],[Visualizações]]</f>
        <v>0.41732283464566927</v>
      </c>
      <c r="Q215" s="5">
        <f>Tabela_dados_base[[#This Row],[Vezes pesquisados]]/Tabela_dados_base[[#This Row],[Visualizações]]</f>
        <v>7.3490813648293962E-2</v>
      </c>
      <c r="R215" s="5">
        <f>Tabela_dados_base[[#This Row],[Visitas Diretas]]/Tabela_dados_base[[#This Row],[Visualizações]]</f>
        <v>0.16010498687664043</v>
      </c>
    </row>
    <row r="216" spans="1:18" x14ac:dyDescent="0.2">
      <c r="A216" t="s">
        <v>15</v>
      </c>
      <c r="B216" t="s">
        <v>16</v>
      </c>
      <c r="C216" t="s">
        <v>17</v>
      </c>
      <c r="D216">
        <v>1047</v>
      </c>
      <c r="E216" s="1">
        <v>44394</v>
      </c>
      <c r="F216" s="2">
        <v>29</v>
      </c>
      <c r="G216" s="2">
        <v>47</v>
      </c>
      <c r="H216" s="2">
        <v>0</v>
      </c>
      <c r="I216" s="2">
        <v>237</v>
      </c>
      <c r="J216" s="2">
        <v>76</v>
      </c>
      <c r="K216" s="2">
        <v>13</v>
      </c>
      <c r="L216" s="2">
        <v>233</v>
      </c>
      <c r="M216" s="2">
        <f>Tabela_dados_base[[#This Row],[Clicks pagos]]+Tabela_dados_base[[#This Row],[Clicks redes sociais]]</f>
        <v>76</v>
      </c>
      <c r="N216" s="5">
        <f>IFERROR(Tabela_dados_base[[#This Row],[Clicks pagos]]/Tabela_dados_base[[#This Row],[Total de Clicks]],"")</f>
        <v>0</v>
      </c>
      <c r="O216" s="5">
        <f>IFERROR(Tabela_dados_base[[#This Row],[Clicks redes sociais]]/Tabela_dados_base[[#This Row],[Total de Clicks]],"")</f>
        <v>1</v>
      </c>
      <c r="P216" s="6">
        <f>Tabela_dados_base[[#This Row],[Total de Clicks]]/Tabela_dados_base[[#This Row],[Visualizações]]</f>
        <v>0.3261802575107296</v>
      </c>
      <c r="Q216" s="5">
        <f>Tabela_dados_base[[#This Row],[Vezes pesquisados]]/Tabela_dados_base[[#This Row],[Visualizações]]</f>
        <v>5.5793991416309016E-2</v>
      </c>
      <c r="R216" s="5">
        <f>Tabela_dados_base[[#This Row],[Visitas Diretas]]/Tabela_dados_base[[#This Row],[Visualizações]]</f>
        <v>0.12446351931330472</v>
      </c>
    </row>
    <row r="217" spans="1:18" x14ac:dyDescent="0.2">
      <c r="A217" t="s">
        <v>15</v>
      </c>
      <c r="B217" t="s">
        <v>16</v>
      </c>
      <c r="C217" t="s">
        <v>17</v>
      </c>
      <c r="D217">
        <v>1047</v>
      </c>
      <c r="E217" s="1">
        <v>44396</v>
      </c>
      <c r="F217" s="2">
        <v>0</v>
      </c>
      <c r="G217" s="2">
        <v>0</v>
      </c>
      <c r="H217" s="2">
        <v>0</v>
      </c>
      <c r="I217" s="2">
        <v>125</v>
      </c>
      <c r="J217" s="2">
        <v>0</v>
      </c>
      <c r="K217" s="2">
        <v>0</v>
      </c>
      <c r="L217" s="2">
        <v>41</v>
      </c>
      <c r="M217" s="2">
        <f>Tabela_dados_base[[#This Row],[Clicks pagos]]+Tabela_dados_base[[#This Row],[Clicks redes sociais]]</f>
        <v>0</v>
      </c>
      <c r="N217" s="5" t="str">
        <f>IFERROR(Tabela_dados_base[[#This Row],[Clicks pagos]]/Tabela_dados_base[[#This Row],[Total de Clicks]],"")</f>
        <v/>
      </c>
      <c r="O217" s="5" t="str">
        <f>IFERROR(Tabela_dados_base[[#This Row],[Clicks redes sociais]]/Tabela_dados_base[[#This Row],[Total de Clicks]],"")</f>
        <v/>
      </c>
      <c r="P217" s="6">
        <f>Tabela_dados_base[[#This Row],[Total de Clicks]]/Tabela_dados_base[[#This Row],[Visualizações]]</f>
        <v>0</v>
      </c>
      <c r="Q217" s="5">
        <f>Tabela_dados_base[[#This Row],[Vezes pesquisados]]/Tabela_dados_base[[#This Row],[Visualizações]]</f>
        <v>0</v>
      </c>
      <c r="R217" s="5">
        <f>Tabela_dados_base[[#This Row],[Visitas Diretas]]/Tabela_dados_base[[#This Row],[Visualizações]]</f>
        <v>0</v>
      </c>
    </row>
    <row r="218" spans="1:18" x14ac:dyDescent="0.2">
      <c r="A218" t="s">
        <v>15</v>
      </c>
      <c r="B218" t="s">
        <v>16</v>
      </c>
      <c r="C218" t="s">
        <v>17</v>
      </c>
      <c r="D218">
        <v>1047</v>
      </c>
      <c r="E218" s="1">
        <v>44397</v>
      </c>
      <c r="F218" s="2">
        <v>0</v>
      </c>
      <c r="G218" s="2">
        <v>0</v>
      </c>
      <c r="H218" s="2">
        <v>0</v>
      </c>
      <c r="I218" s="2">
        <v>19</v>
      </c>
      <c r="J218" s="2">
        <v>0</v>
      </c>
      <c r="K218" s="2">
        <v>0</v>
      </c>
      <c r="L218" s="2">
        <v>6</v>
      </c>
      <c r="M218" s="2">
        <f>Tabela_dados_base[[#This Row],[Clicks pagos]]+Tabela_dados_base[[#This Row],[Clicks redes sociais]]</f>
        <v>0</v>
      </c>
      <c r="N218" s="5" t="str">
        <f>IFERROR(Tabela_dados_base[[#This Row],[Clicks pagos]]/Tabela_dados_base[[#This Row],[Total de Clicks]],"")</f>
        <v/>
      </c>
      <c r="O218" s="5" t="str">
        <f>IFERROR(Tabela_dados_base[[#This Row],[Clicks redes sociais]]/Tabela_dados_base[[#This Row],[Total de Clicks]],"")</f>
        <v/>
      </c>
      <c r="P218" s="6">
        <f>Tabela_dados_base[[#This Row],[Total de Clicks]]/Tabela_dados_base[[#This Row],[Visualizações]]</f>
        <v>0</v>
      </c>
      <c r="Q218" s="5">
        <f>Tabela_dados_base[[#This Row],[Vezes pesquisados]]/Tabela_dados_base[[#This Row],[Visualizações]]</f>
        <v>0</v>
      </c>
      <c r="R218" s="5">
        <f>Tabela_dados_base[[#This Row],[Visitas Diretas]]/Tabela_dados_base[[#This Row],[Visualizações]]</f>
        <v>0</v>
      </c>
    </row>
    <row r="219" spans="1:18" x14ac:dyDescent="0.2">
      <c r="A219" t="s">
        <v>15</v>
      </c>
      <c r="B219" t="s">
        <v>16</v>
      </c>
      <c r="C219" t="s">
        <v>17</v>
      </c>
      <c r="D219">
        <v>1047</v>
      </c>
      <c r="E219" s="1">
        <v>44400</v>
      </c>
      <c r="F219" s="2">
        <v>6</v>
      </c>
      <c r="G219" s="2">
        <v>10</v>
      </c>
      <c r="H219" s="2">
        <v>0</v>
      </c>
      <c r="I219" s="2">
        <v>61</v>
      </c>
      <c r="J219" s="2">
        <v>17</v>
      </c>
      <c r="K219" s="2">
        <v>3</v>
      </c>
      <c r="L219" s="2">
        <v>35</v>
      </c>
      <c r="M219" s="2">
        <f>Tabela_dados_base[[#This Row],[Clicks pagos]]+Tabela_dados_base[[#This Row],[Clicks redes sociais]]</f>
        <v>17</v>
      </c>
      <c r="N219" s="5">
        <f>IFERROR(Tabela_dados_base[[#This Row],[Clicks pagos]]/Tabela_dados_base[[#This Row],[Total de Clicks]],"")</f>
        <v>0</v>
      </c>
      <c r="O219" s="5">
        <f>IFERROR(Tabela_dados_base[[#This Row],[Clicks redes sociais]]/Tabela_dados_base[[#This Row],[Total de Clicks]],"")</f>
        <v>1</v>
      </c>
      <c r="P219" s="6">
        <f>Tabela_dados_base[[#This Row],[Total de Clicks]]/Tabela_dados_base[[#This Row],[Visualizações]]</f>
        <v>0.48571428571428571</v>
      </c>
      <c r="Q219" s="5">
        <f>Tabela_dados_base[[#This Row],[Vezes pesquisados]]/Tabela_dados_base[[#This Row],[Visualizações]]</f>
        <v>8.5714285714285715E-2</v>
      </c>
      <c r="R219" s="5">
        <f>Tabela_dados_base[[#This Row],[Visitas Diretas]]/Tabela_dados_base[[#This Row],[Visualizações]]</f>
        <v>0.17142857142857143</v>
      </c>
    </row>
    <row r="220" spans="1:18" x14ac:dyDescent="0.2">
      <c r="A220" t="s">
        <v>15</v>
      </c>
      <c r="B220" t="s">
        <v>16</v>
      </c>
      <c r="C220" t="s">
        <v>17</v>
      </c>
      <c r="D220">
        <v>1047</v>
      </c>
      <c r="E220" s="1">
        <v>44401</v>
      </c>
      <c r="F220" s="2">
        <v>0</v>
      </c>
      <c r="G220" s="2">
        <v>0</v>
      </c>
      <c r="H220" s="2">
        <v>0</v>
      </c>
      <c r="I220" s="2">
        <v>45</v>
      </c>
      <c r="J220" s="2">
        <v>0</v>
      </c>
      <c r="K220" s="2">
        <v>0</v>
      </c>
      <c r="L220" s="2">
        <v>24</v>
      </c>
      <c r="M220" s="2">
        <f>Tabela_dados_base[[#This Row],[Clicks pagos]]+Tabela_dados_base[[#This Row],[Clicks redes sociais]]</f>
        <v>0</v>
      </c>
      <c r="N220" s="5" t="str">
        <f>IFERROR(Tabela_dados_base[[#This Row],[Clicks pagos]]/Tabela_dados_base[[#This Row],[Total de Clicks]],"")</f>
        <v/>
      </c>
      <c r="O220" s="5" t="str">
        <f>IFERROR(Tabela_dados_base[[#This Row],[Clicks redes sociais]]/Tabela_dados_base[[#This Row],[Total de Clicks]],"")</f>
        <v/>
      </c>
      <c r="P220" s="6">
        <f>Tabela_dados_base[[#This Row],[Total de Clicks]]/Tabela_dados_base[[#This Row],[Visualizações]]</f>
        <v>0</v>
      </c>
      <c r="Q220" s="5">
        <f>Tabela_dados_base[[#This Row],[Vezes pesquisados]]/Tabela_dados_base[[#This Row],[Visualizações]]</f>
        <v>0</v>
      </c>
      <c r="R220" s="5">
        <f>Tabela_dados_base[[#This Row],[Visitas Diretas]]/Tabela_dados_base[[#This Row],[Visualizações]]</f>
        <v>0</v>
      </c>
    </row>
    <row r="221" spans="1:18" x14ac:dyDescent="0.2">
      <c r="A221" t="s">
        <v>15</v>
      </c>
      <c r="B221" t="s">
        <v>16</v>
      </c>
      <c r="C221" t="s">
        <v>17</v>
      </c>
      <c r="D221">
        <v>1047</v>
      </c>
      <c r="E221" s="1">
        <v>44402</v>
      </c>
      <c r="F221" s="2">
        <v>54</v>
      </c>
      <c r="G221" s="2">
        <v>87</v>
      </c>
      <c r="H221" s="2">
        <v>0</v>
      </c>
      <c r="I221" s="2">
        <v>1040</v>
      </c>
      <c r="J221" s="2">
        <v>141</v>
      </c>
      <c r="K221" s="2">
        <v>24</v>
      </c>
      <c r="L221" s="2">
        <v>290</v>
      </c>
      <c r="M221" s="2">
        <f>Tabela_dados_base[[#This Row],[Clicks pagos]]+Tabela_dados_base[[#This Row],[Clicks redes sociais]]</f>
        <v>141</v>
      </c>
      <c r="N221" s="5">
        <f>IFERROR(Tabela_dados_base[[#This Row],[Clicks pagos]]/Tabela_dados_base[[#This Row],[Total de Clicks]],"")</f>
        <v>0</v>
      </c>
      <c r="O221" s="5">
        <f>IFERROR(Tabela_dados_base[[#This Row],[Clicks redes sociais]]/Tabela_dados_base[[#This Row],[Total de Clicks]],"")</f>
        <v>1</v>
      </c>
      <c r="P221" s="6">
        <f>Tabela_dados_base[[#This Row],[Total de Clicks]]/Tabela_dados_base[[#This Row],[Visualizações]]</f>
        <v>0.48620689655172411</v>
      </c>
      <c r="Q221" s="5">
        <f>Tabela_dados_base[[#This Row],[Vezes pesquisados]]/Tabela_dados_base[[#This Row],[Visualizações]]</f>
        <v>8.2758620689655171E-2</v>
      </c>
      <c r="R221" s="5">
        <f>Tabela_dados_base[[#This Row],[Visitas Diretas]]/Tabela_dados_base[[#This Row],[Visualizações]]</f>
        <v>0.18620689655172415</v>
      </c>
    </row>
    <row r="222" spans="1:18" x14ac:dyDescent="0.2">
      <c r="A222" t="s">
        <v>15</v>
      </c>
      <c r="B222" t="s">
        <v>16</v>
      </c>
      <c r="C222" t="s">
        <v>17</v>
      </c>
      <c r="D222">
        <v>1047</v>
      </c>
      <c r="E222" s="1">
        <v>44404</v>
      </c>
      <c r="F222" s="2">
        <v>18</v>
      </c>
      <c r="G222" s="2">
        <v>29</v>
      </c>
      <c r="H222" s="2">
        <v>0</v>
      </c>
      <c r="I222" s="2">
        <v>432</v>
      </c>
      <c r="J222" s="2">
        <v>47</v>
      </c>
      <c r="K222" s="2">
        <v>8</v>
      </c>
      <c r="L222" s="2">
        <v>183</v>
      </c>
      <c r="M222" s="2">
        <f>Tabela_dados_base[[#This Row],[Clicks pagos]]+Tabela_dados_base[[#This Row],[Clicks redes sociais]]</f>
        <v>47</v>
      </c>
      <c r="N222" s="5">
        <f>IFERROR(Tabela_dados_base[[#This Row],[Clicks pagos]]/Tabela_dados_base[[#This Row],[Total de Clicks]],"")</f>
        <v>0</v>
      </c>
      <c r="O222" s="5">
        <f>IFERROR(Tabela_dados_base[[#This Row],[Clicks redes sociais]]/Tabela_dados_base[[#This Row],[Total de Clicks]],"")</f>
        <v>1</v>
      </c>
      <c r="P222" s="6">
        <f>Tabela_dados_base[[#This Row],[Total de Clicks]]/Tabela_dados_base[[#This Row],[Visualizações]]</f>
        <v>0.25683060109289618</v>
      </c>
      <c r="Q222" s="5">
        <f>Tabela_dados_base[[#This Row],[Vezes pesquisados]]/Tabela_dados_base[[#This Row],[Visualizações]]</f>
        <v>4.3715846994535519E-2</v>
      </c>
      <c r="R222" s="5">
        <f>Tabela_dados_base[[#This Row],[Visitas Diretas]]/Tabela_dados_base[[#This Row],[Visualizações]]</f>
        <v>9.8360655737704916E-2</v>
      </c>
    </row>
    <row r="223" spans="1:18" x14ac:dyDescent="0.2">
      <c r="A223" t="s">
        <v>15</v>
      </c>
      <c r="B223" t="s">
        <v>16</v>
      </c>
      <c r="C223" t="s">
        <v>17</v>
      </c>
      <c r="D223">
        <v>1047</v>
      </c>
      <c r="E223" s="1">
        <v>44405</v>
      </c>
      <c r="F223" s="2">
        <v>19</v>
      </c>
      <c r="G223" s="2">
        <v>30</v>
      </c>
      <c r="H223" s="2">
        <v>0</v>
      </c>
      <c r="I223" s="2">
        <v>375</v>
      </c>
      <c r="J223" s="2">
        <v>48</v>
      </c>
      <c r="K223" s="2">
        <v>8</v>
      </c>
      <c r="L223" s="2">
        <v>147</v>
      </c>
      <c r="M223" s="2">
        <f>Tabela_dados_base[[#This Row],[Clicks pagos]]+Tabela_dados_base[[#This Row],[Clicks redes sociais]]</f>
        <v>48</v>
      </c>
      <c r="N223" s="5">
        <f>IFERROR(Tabela_dados_base[[#This Row],[Clicks pagos]]/Tabela_dados_base[[#This Row],[Total de Clicks]],"")</f>
        <v>0</v>
      </c>
      <c r="O223" s="5">
        <f>IFERROR(Tabela_dados_base[[#This Row],[Clicks redes sociais]]/Tabela_dados_base[[#This Row],[Total de Clicks]],"")</f>
        <v>1</v>
      </c>
      <c r="P223" s="6">
        <f>Tabela_dados_base[[#This Row],[Total de Clicks]]/Tabela_dados_base[[#This Row],[Visualizações]]</f>
        <v>0.32653061224489793</v>
      </c>
      <c r="Q223" s="5">
        <f>Tabela_dados_base[[#This Row],[Vezes pesquisados]]/Tabela_dados_base[[#This Row],[Visualizações]]</f>
        <v>5.4421768707482991E-2</v>
      </c>
      <c r="R223" s="5">
        <f>Tabela_dados_base[[#This Row],[Visitas Diretas]]/Tabela_dados_base[[#This Row],[Visualizações]]</f>
        <v>0.12925170068027211</v>
      </c>
    </row>
    <row r="224" spans="1:18" x14ac:dyDescent="0.2">
      <c r="A224" t="s">
        <v>15</v>
      </c>
      <c r="B224" t="s">
        <v>16</v>
      </c>
      <c r="C224" t="s">
        <v>17</v>
      </c>
      <c r="D224">
        <v>1047</v>
      </c>
      <c r="E224" s="1">
        <v>44407</v>
      </c>
      <c r="F224" s="2">
        <v>0</v>
      </c>
      <c r="G224" s="2">
        <v>0</v>
      </c>
      <c r="H224" s="2">
        <v>0</v>
      </c>
      <c r="I224" s="2">
        <v>24</v>
      </c>
      <c r="J224" s="2">
        <v>0</v>
      </c>
      <c r="K224" s="2">
        <v>0</v>
      </c>
      <c r="L224" s="2">
        <v>9</v>
      </c>
      <c r="M224" s="2">
        <f>Tabela_dados_base[[#This Row],[Clicks pagos]]+Tabela_dados_base[[#This Row],[Clicks redes sociais]]</f>
        <v>0</v>
      </c>
      <c r="N224" s="5" t="str">
        <f>IFERROR(Tabela_dados_base[[#This Row],[Clicks pagos]]/Tabela_dados_base[[#This Row],[Total de Clicks]],"")</f>
        <v/>
      </c>
      <c r="O224" s="5" t="str">
        <f>IFERROR(Tabela_dados_base[[#This Row],[Clicks redes sociais]]/Tabela_dados_base[[#This Row],[Total de Clicks]],"")</f>
        <v/>
      </c>
      <c r="P224" s="6">
        <f>Tabela_dados_base[[#This Row],[Total de Clicks]]/Tabela_dados_base[[#This Row],[Visualizações]]</f>
        <v>0</v>
      </c>
      <c r="Q224" s="5">
        <f>Tabela_dados_base[[#This Row],[Vezes pesquisados]]/Tabela_dados_base[[#This Row],[Visualizações]]</f>
        <v>0</v>
      </c>
      <c r="R224" s="5">
        <f>Tabela_dados_base[[#This Row],[Visitas Diretas]]/Tabela_dados_base[[#This Row],[Visualizações]]</f>
        <v>0</v>
      </c>
    </row>
    <row r="225" spans="1:18" x14ac:dyDescent="0.2">
      <c r="A225" t="s">
        <v>15</v>
      </c>
      <c r="B225" t="s">
        <v>16</v>
      </c>
      <c r="C225" t="s">
        <v>17</v>
      </c>
      <c r="D225">
        <v>1047</v>
      </c>
      <c r="E225" s="1">
        <v>44409</v>
      </c>
      <c r="F225" s="2">
        <v>30</v>
      </c>
      <c r="G225" s="2">
        <v>49</v>
      </c>
      <c r="H225" s="2">
        <v>0</v>
      </c>
      <c r="I225" s="2">
        <v>627</v>
      </c>
      <c r="J225" s="2">
        <v>79</v>
      </c>
      <c r="K225" s="2">
        <v>14</v>
      </c>
      <c r="L225" s="2">
        <v>191</v>
      </c>
      <c r="M225" s="2">
        <f>Tabela_dados_base[[#This Row],[Clicks pagos]]+Tabela_dados_base[[#This Row],[Clicks redes sociais]]</f>
        <v>79</v>
      </c>
      <c r="N225" s="5">
        <f>IFERROR(Tabela_dados_base[[#This Row],[Clicks pagos]]/Tabela_dados_base[[#This Row],[Total de Clicks]],"")</f>
        <v>0</v>
      </c>
      <c r="O225" s="5">
        <f>IFERROR(Tabela_dados_base[[#This Row],[Clicks redes sociais]]/Tabela_dados_base[[#This Row],[Total de Clicks]],"")</f>
        <v>1</v>
      </c>
      <c r="P225" s="6">
        <f>Tabela_dados_base[[#This Row],[Total de Clicks]]/Tabela_dados_base[[#This Row],[Visualizações]]</f>
        <v>0.41361256544502617</v>
      </c>
      <c r="Q225" s="5">
        <f>Tabela_dados_base[[#This Row],[Vezes pesquisados]]/Tabela_dados_base[[#This Row],[Visualizações]]</f>
        <v>7.3298429319371722E-2</v>
      </c>
      <c r="R225" s="5">
        <f>Tabela_dados_base[[#This Row],[Visitas Diretas]]/Tabela_dados_base[[#This Row],[Visualizações]]</f>
        <v>0.15706806282722513</v>
      </c>
    </row>
    <row r="226" spans="1:18" x14ac:dyDescent="0.2">
      <c r="A226" t="s">
        <v>15</v>
      </c>
      <c r="B226" t="s">
        <v>16</v>
      </c>
      <c r="C226" t="s">
        <v>17</v>
      </c>
      <c r="D226">
        <v>1047</v>
      </c>
      <c r="E226" s="1">
        <v>44410</v>
      </c>
      <c r="F226" s="2">
        <v>12</v>
      </c>
      <c r="G226" s="2">
        <v>19</v>
      </c>
      <c r="H226" s="2">
        <v>0</v>
      </c>
      <c r="I226" s="2">
        <v>231</v>
      </c>
      <c r="J226" s="2">
        <v>30</v>
      </c>
      <c r="K226" s="2">
        <v>5</v>
      </c>
      <c r="L226" s="2">
        <v>75</v>
      </c>
      <c r="M226" s="2">
        <f>Tabela_dados_base[[#This Row],[Clicks pagos]]+Tabela_dados_base[[#This Row],[Clicks redes sociais]]</f>
        <v>30</v>
      </c>
      <c r="N226" s="5">
        <f>IFERROR(Tabela_dados_base[[#This Row],[Clicks pagos]]/Tabela_dados_base[[#This Row],[Total de Clicks]],"")</f>
        <v>0</v>
      </c>
      <c r="O226" s="5">
        <f>IFERROR(Tabela_dados_base[[#This Row],[Clicks redes sociais]]/Tabela_dados_base[[#This Row],[Total de Clicks]],"")</f>
        <v>1</v>
      </c>
      <c r="P226" s="6">
        <f>Tabela_dados_base[[#This Row],[Total de Clicks]]/Tabela_dados_base[[#This Row],[Visualizações]]</f>
        <v>0.4</v>
      </c>
      <c r="Q226" s="5">
        <f>Tabela_dados_base[[#This Row],[Vezes pesquisados]]/Tabela_dados_base[[#This Row],[Visualizações]]</f>
        <v>6.6666666666666666E-2</v>
      </c>
      <c r="R226" s="5">
        <f>Tabela_dados_base[[#This Row],[Visitas Diretas]]/Tabela_dados_base[[#This Row],[Visualizações]]</f>
        <v>0.16</v>
      </c>
    </row>
    <row r="227" spans="1:18" x14ac:dyDescent="0.2">
      <c r="A227" t="s">
        <v>15</v>
      </c>
      <c r="B227" t="s">
        <v>16</v>
      </c>
      <c r="C227" t="s">
        <v>17</v>
      </c>
      <c r="D227">
        <v>1047</v>
      </c>
      <c r="E227" s="1">
        <v>44411</v>
      </c>
      <c r="F227" s="2">
        <v>9</v>
      </c>
      <c r="G227" s="2">
        <v>14</v>
      </c>
      <c r="H227" s="2">
        <v>0</v>
      </c>
      <c r="I227" s="2">
        <v>360</v>
      </c>
      <c r="J227" s="2">
        <v>23</v>
      </c>
      <c r="K227" s="2">
        <v>4</v>
      </c>
      <c r="L227" s="2">
        <v>110</v>
      </c>
      <c r="M227" s="2">
        <f>Tabela_dados_base[[#This Row],[Clicks pagos]]+Tabela_dados_base[[#This Row],[Clicks redes sociais]]</f>
        <v>23</v>
      </c>
      <c r="N227" s="5">
        <f>IFERROR(Tabela_dados_base[[#This Row],[Clicks pagos]]/Tabela_dados_base[[#This Row],[Total de Clicks]],"")</f>
        <v>0</v>
      </c>
      <c r="O227" s="5">
        <f>IFERROR(Tabela_dados_base[[#This Row],[Clicks redes sociais]]/Tabela_dados_base[[#This Row],[Total de Clicks]],"")</f>
        <v>1</v>
      </c>
      <c r="P227" s="6">
        <f>Tabela_dados_base[[#This Row],[Total de Clicks]]/Tabela_dados_base[[#This Row],[Visualizações]]</f>
        <v>0.20909090909090908</v>
      </c>
      <c r="Q227" s="5">
        <f>Tabela_dados_base[[#This Row],[Vezes pesquisados]]/Tabela_dados_base[[#This Row],[Visualizações]]</f>
        <v>3.6363636363636362E-2</v>
      </c>
      <c r="R227" s="5">
        <f>Tabela_dados_base[[#This Row],[Visitas Diretas]]/Tabela_dados_base[[#This Row],[Visualizações]]</f>
        <v>8.1818181818181818E-2</v>
      </c>
    </row>
    <row r="228" spans="1:18" x14ac:dyDescent="0.2">
      <c r="A228" t="s">
        <v>15</v>
      </c>
      <c r="B228" t="s">
        <v>16</v>
      </c>
      <c r="C228" t="s">
        <v>17</v>
      </c>
      <c r="D228">
        <v>1047</v>
      </c>
      <c r="E228" s="1">
        <v>44412</v>
      </c>
      <c r="F228" s="2">
        <v>37</v>
      </c>
      <c r="G228" s="2">
        <v>60</v>
      </c>
      <c r="H228" s="2">
        <v>0</v>
      </c>
      <c r="I228" s="2">
        <v>246</v>
      </c>
      <c r="J228" s="2">
        <v>97</v>
      </c>
      <c r="K228" s="2">
        <v>17</v>
      </c>
      <c r="L228" s="2">
        <v>194</v>
      </c>
      <c r="M228" s="2">
        <f>Tabela_dados_base[[#This Row],[Clicks pagos]]+Tabela_dados_base[[#This Row],[Clicks redes sociais]]</f>
        <v>97</v>
      </c>
      <c r="N228" s="5">
        <f>IFERROR(Tabela_dados_base[[#This Row],[Clicks pagos]]/Tabela_dados_base[[#This Row],[Total de Clicks]],"")</f>
        <v>0</v>
      </c>
      <c r="O228" s="5">
        <f>IFERROR(Tabela_dados_base[[#This Row],[Clicks redes sociais]]/Tabela_dados_base[[#This Row],[Total de Clicks]],"")</f>
        <v>1</v>
      </c>
      <c r="P228" s="6">
        <f>Tabela_dados_base[[#This Row],[Total de Clicks]]/Tabela_dados_base[[#This Row],[Visualizações]]</f>
        <v>0.5</v>
      </c>
      <c r="Q228" s="5">
        <f>Tabela_dados_base[[#This Row],[Vezes pesquisados]]/Tabela_dados_base[[#This Row],[Visualizações]]</f>
        <v>8.7628865979381437E-2</v>
      </c>
      <c r="R228" s="5">
        <f>Tabela_dados_base[[#This Row],[Visitas Diretas]]/Tabela_dados_base[[#This Row],[Visualizações]]</f>
        <v>0.19072164948453607</v>
      </c>
    </row>
    <row r="229" spans="1:18" x14ac:dyDescent="0.2">
      <c r="A229" t="s">
        <v>15</v>
      </c>
      <c r="B229" t="s">
        <v>16</v>
      </c>
      <c r="C229" t="s">
        <v>17</v>
      </c>
      <c r="D229">
        <v>1047</v>
      </c>
      <c r="E229" s="1">
        <v>44415</v>
      </c>
      <c r="F229" s="2">
        <v>7</v>
      </c>
      <c r="G229" s="2">
        <v>12</v>
      </c>
      <c r="H229" s="2">
        <v>0</v>
      </c>
      <c r="I229" s="2">
        <v>371</v>
      </c>
      <c r="J229" s="2">
        <v>19</v>
      </c>
      <c r="K229" s="2">
        <v>3</v>
      </c>
      <c r="L229" s="2">
        <v>130</v>
      </c>
      <c r="M229" s="2">
        <f>Tabela_dados_base[[#This Row],[Clicks pagos]]+Tabela_dados_base[[#This Row],[Clicks redes sociais]]</f>
        <v>19</v>
      </c>
      <c r="N229" s="5">
        <f>IFERROR(Tabela_dados_base[[#This Row],[Clicks pagos]]/Tabela_dados_base[[#This Row],[Total de Clicks]],"")</f>
        <v>0</v>
      </c>
      <c r="O229" s="5">
        <f>IFERROR(Tabela_dados_base[[#This Row],[Clicks redes sociais]]/Tabela_dados_base[[#This Row],[Total de Clicks]],"")</f>
        <v>1</v>
      </c>
      <c r="P229" s="6">
        <f>Tabela_dados_base[[#This Row],[Total de Clicks]]/Tabela_dados_base[[#This Row],[Visualizações]]</f>
        <v>0.14615384615384616</v>
      </c>
      <c r="Q229" s="5">
        <f>Tabela_dados_base[[#This Row],[Vezes pesquisados]]/Tabela_dados_base[[#This Row],[Visualizações]]</f>
        <v>2.3076923076923078E-2</v>
      </c>
      <c r="R229" s="5">
        <f>Tabela_dados_base[[#This Row],[Visitas Diretas]]/Tabela_dados_base[[#This Row],[Visualizações]]</f>
        <v>5.3846153846153849E-2</v>
      </c>
    </row>
    <row r="230" spans="1:18" x14ac:dyDescent="0.2">
      <c r="A230" t="s">
        <v>15</v>
      </c>
      <c r="B230" t="s">
        <v>16</v>
      </c>
      <c r="C230" t="s">
        <v>17</v>
      </c>
      <c r="D230">
        <v>1047</v>
      </c>
      <c r="E230" s="1">
        <v>44416</v>
      </c>
      <c r="F230" s="2">
        <v>46</v>
      </c>
      <c r="G230" s="2">
        <v>74</v>
      </c>
      <c r="H230" s="2">
        <v>0</v>
      </c>
      <c r="I230" s="2">
        <v>1210</v>
      </c>
      <c r="J230" s="2">
        <v>121</v>
      </c>
      <c r="K230" s="2">
        <v>21</v>
      </c>
      <c r="L230" s="2">
        <v>321</v>
      </c>
      <c r="M230" s="2">
        <f>Tabela_dados_base[[#This Row],[Clicks pagos]]+Tabela_dados_base[[#This Row],[Clicks redes sociais]]</f>
        <v>121</v>
      </c>
      <c r="N230" s="5">
        <f>IFERROR(Tabela_dados_base[[#This Row],[Clicks pagos]]/Tabela_dados_base[[#This Row],[Total de Clicks]],"")</f>
        <v>0</v>
      </c>
      <c r="O230" s="5">
        <f>IFERROR(Tabela_dados_base[[#This Row],[Clicks redes sociais]]/Tabela_dados_base[[#This Row],[Total de Clicks]],"")</f>
        <v>1</v>
      </c>
      <c r="P230" s="6">
        <f>Tabela_dados_base[[#This Row],[Total de Clicks]]/Tabela_dados_base[[#This Row],[Visualizações]]</f>
        <v>0.37694704049844235</v>
      </c>
      <c r="Q230" s="5">
        <f>Tabela_dados_base[[#This Row],[Vezes pesquisados]]/Tabela_dados_base[[#This Row],[Visualizações]]</f>
        <v>6.5420560747663545E-2</v>
      </c>
      <c r="R230" s="5">
        <f>Tabela_dados_base[[#This Row],[Visitas Diretas]]/Tabela_dados_base[[#This Row],[Visualizações]]</f>
        <v>0.14330218068535824</v>
      </c>
    </row>
    <row r="231" spans="1:18" x14ac:dyDescent="0.2">
      <c r="A231" t="s">
        <v>15</v>
      </c>
      <c r="B231" t="s">
        <v>16</v>
      </c>
      <c r="C231" t="s">
        <v>17</v>
      </c>
      <c r="D231">
        <v>1047</v>
      </c>
      <c r="E231" s="1">
        <v>44417</v>
      </c>
      <c r="F231" s="2">
        <v>6</v>
      </c>
      <c r="G231" s="2">
        <v>10</v>
      </c>
      <c r="H231" s="2">
        <v>0</v>
      </c>
      <c r="I231" s="2">
        <v>319</v>
      </c>
      <c r="J231" s="2">
        <v>16</v>
      </c>
      <c r="K231" s="2">
        <v>3</v>
      </c>
      <c r="L231" s="2">
        <v>120</v>
      </c>
      <c r="M231" s="2">
        <f>Tabela_dados_base[[#This Row],[Clicks pagos]]+Tabela_dados_base[[#This Row],[Clicks redes sociais]]</f>
        <v>16</v>
      </c>
      <c r="N231" s="5">
        <f>IFERROR(Tabela_dados_base[[#This Row],[Clicks pagos]]/Tabela_dados_base[[#This Row],[Total de Clicks]],"")</f>
        <v>0</v>
      </c>
      <c r="O231" s="5">
        <f>IFERROR(Tabela_dados_base[[#This Row],[Clicks redes sociais]]/Tabela_dados_base[[#This Row],[Total de Clicks]],"")</f>
        <v>1</v>
      </c>
      <c r="P231" s="6">
        <f>Tabela_dados_base[[#This Row],[Total de Clicks]]/Tabela_dados_base[[#This Row],[Visualizações]]</f>
        <v>0.13333333333333333</v>
      </c>
      <c r="Q231" s="5">
        <f>Tabela_dados_base[[#This Row],[Vezes pesquisados]]/Tabela_dados_base[[#This Row],[Visualizações]]</f>
        <v>2.5000000000000001E-2</v>
      </c>
      <c r="R231" s="5">
        <f>Tabela_dados_base[[#This Row],[Visitas Diretas]]/Tabela_dados_base[[#This Row],[Visualizações]]</f>
        <v>0.05</v>
      </c>
    </row>
    <row r="232" spans="1:18" x14ac:dyDescent="0.2">
      <c r="A232" t="s">
        <v>15</v>
      </c>
      <c r="B232" t="s">
        <v>16</v>
      </c>
      <c r="C232" t="s">
        <v>17</v>
      </c>
      <c r="D232">
        <v>1047</v>
      </c>
      <c r="E232" s="1">
        <v>44419</v>
      </c>
      <c r="F232" s="2">
        <v>14</v>
      </c>
      <c r="G232" s="2">
        <v>22</v>
      </c>
      <c r="H232" s="2">
        <v>0</v>
      </c>
      <c r="I232" s="2">
        <v>175</v>
      </c>
      <c r="J232" s="2">
        <v>36</v>
      </c>
      <c r="K232" s="2">
        <v>6</v>
      </c>
      <c r="L232" s="2">
        <v>88</v>
      </c>
      <c r="M232" s="2">
        <f>Tabela_dados_base[[#This Row],[Clicks pagos]]+Tabela_dados_base[[#This Row],[Clicks redes sociais]]</f>
        <v>36</v>
      </c>
      <c r="N232" s="5">
        <f>IFERROR(Tabela_dados_base[[#This Row],[Clicks pagos]]/Tabela_dados_base[[#This Row],[Total de Clicks]],"")</f>
        <v>0</v>
      </c>
      <c r="O232" s="5">
        <f>IFERROR(Tabela_dados_base[[#This Row],[Clicks redes sociais]]/Tabela_dados_base[[#This Row],[Total de Clicks]],"")</f>
        <v>1</v>
      </c>
      <c r="P232" s="6">
        <f>Tabela_dados_base[[#This Row],[Total de Clicks]]/Tabela_dados_base[[#This Row],[Visualizações]]</f>
        <v>0.40909090909090912</v>
      </c>
      <c r="Q232" s="5">
        <f>Tabela_dados_base[[#This Row],[Vezes pesquisados]]/Tabela_dados_base[[#This Row],[Visualizações]]</f>
        <v>6.8181818181818177E-2</v>
      </c>
      <c r="R232" s="5">
        <f>Tabela_dados_base[[#This Row],[Visitas Diretas]]/Tabela_dados_base[[#This Row],[Visualizações]]</f>
        <v>0.15909090909090909</v>
      </c>
    </row>
    <row r="233" spans="1:18" x14ac:dyDescent="0.2">
      <c r="A233" t="s">
        <v>15</v>
      </c>
      <c r="B233" t="s">
        <v>16</v>
      </c>
      <c r="C233" t="s">
        <v>17</v>
      </c>
      <c r="D233">
        <v>1047</v>
      </c>
      <c r="E233" s="1">
        <v>44420</v>
      </c>
      <c r="F233" s="2">
        <v>0</v>
      </c>
      <c r="G233" s="2">
        <v>0</v>
      </c>
      <c r="H233" s="2">
        <v>0</v>
      </c>
      <c r="I233" s="2">
        <v>19</v>
      </c>
      <c r="J233" s="2">
        <v>0</v>
      </c>
      <c r="K233" s="2">
        <v>0</v>
      </c>
      <c r="L233" s="2">
        <v>8</v>
      </c>
      <c r="M233" s="2">
        <f>Tabela_dados_base[[#This Row],[Clicks pagos]]+Tabela_dados_base[[#This Row],[Clicks redes sociais]]</f>
        <v>0</v>
      </c>
      <c r="N233" s="5" t="str">
        <f>IFERROR(Tabela_dados_base[[#This Row],[Clicks pagos]]/Tabela_dados_base[[#This Row],[Total de Clicks]],"")</f>
        <v/>
      </c>
      <c r="O233" s="5" t="str">
        <f>IFERROR(Tabela_dados_base[[#This Row],[Clicks redes sociais]]/Tabela_dados_base[[#This Row],[Total de Clicks]],"")</f>
        <v/>
      </c>
      <c r="P233" s="6">
        <f>Tabela_dados_base[[#This Row],[Total de Clicks]]/Tabela_dados_base[[#This Row],[Visualizações]]</f>
        <v>0</v>
      </c>
      <c r="Q233" s="5">
        <f>Tabela_dados_base[[#This Row],[Vezes pesquisados]]/Tabela_dados_base[[#This Row],[Visualizações]]</f>
        <v>0</v>
      </c>
      <c r="R233" s="5">
        <f>Tabela_dados_base[[#This Row],[Visitas Diretas]]/Tabela_dados_base[[#This Row],[Visualizações]]</f>
        <v>0</v>
      </c>
    </row>
    <row r="234" spans="1:18" x14ac:dyDescent="0.2">
      <c r="A234" t="s">
        <v>15</v>
      </c>
      <c r="B234" t="s">
        <v>16</v>
      </c>
      <c r="C234" t="s">
        <v>17</v>
      </c>
      <c r="D234">
        <v>1047</v>
      </c>
      <c r="E234" s="1">
        <v>44422</v>
      </c>
      <c r="F234" s="2">
        <v>0</v>
      </c>
      <c r="G234" s="2">
        <v>0</v>
      </c>
      <c r="H234" s="2">
        <v>0</v>
      </c>
      <c r="I234" s="2">
        <v>154</v>
      </c>
      <c r="J234" s="2">
        <v>0</v>
      </c>
      <c r="K234" s="2">
        <v>0</v>
      </c>
      <c r="L234" s="2">
        <v>76</v>
      </c>
      <c r="M234" s="2">
        <f>Tabela_dados_base[[#This Row],[Clicks pagos]]+Tabela_dados_base[[#This Row],[Clicks redes sociais]]</f>
        <v>0</v>
      </c>
      <c r="N234" s="5" t="str">
        <f>IFERROR(Tabela_dados_base[[#This Row],[Clicks pagos]]/Tabela_dados_base[[#This Row],[Total de Clicks]],"")</f>
        <v/>
      </c>
      <c r="O234" s="5" t="str">
        <f>IFERROR(Tabela_dados_base[[#This Row],[Clicks redes sociais]]/Tabela_dados_base[[#This Row],[Total de Clicks]],"")</f>
        <v/>
      </c>
      <c r="P234" s="6">
        <f>Tabela_dados_base[[#This Row],[Total de Clicks]]/Tabela_dados_base[[#This Row],[Visualizações]]</f>
        <v>0</v>
      </c>
      <c r="Q234" s="5">
        <f>Tabela_dados_base[[#This Row],[Vezes pesquisados]]/Tabela_dados_base[[#This Row],[Visualizações]]</f>
        <v>0</v>
      </c>
      <c r="R234" s="5">
        <f>Tabela_dados_base[[#This Row],[Visitas Diretas]]/Tabela_dados_base[[#This Row],[Visualizações]]</f>
        <v>0</v>
      </c>
    </row>
    <row r="235" spans="1:18" x14ac:dyDescent="0.2">
      <c r="A235" t="s">
        <v>15</v>
      </c>
      <c r="B235" t="s">
        <v>16</v>
      </c>
      <c r="C235" t="s">
        <v>17</v>
      </c>
      <c r="D235">
        <v>1047</v>
      </c>
      <c r="E235" s="1">
        <v>44423</v>
      </c>
      <c r="F235" s="2">
        <v>84</v>
      </c>
      <c r="G235" s="2">
        <v>134</v>
      </c>
      <c r="H235" s="2">
        <v>0</v>
      </c>
      <c r="I235" s="2">
        <v>1834</v>
      </c>
      <c r="J235" s="2">
        <v>218</v>
      </c>
      <c r="K235" s="2">
        <v>38</v>
      </c>
      <c r="L235" s="2">
        <v>464</v>
      </c>
      <c r="M235" s="2">
        <f>Tabela_dados_base[[#This Row],[Clicks pagos]]+Tabela_dados_base[[#This Row],[Clicks redes sociais]]</f>
        <v>218</v>
      </c>
      <c r="N235" s="5">
        <f>IFERROR(Tabela_dados_base[[#This Row],[Clicks pagos]]/Tabela_dados_base[[#This Row],[Total de Clicks]],"")</f>
        <v>0</v>
      </c>
      <c r="O235" s="5">
        <f>IFERROR(Tabela_dados_base[[#This Row],[Clicks redes sociais]]/Tabela_dados_base[[#This Row],[Total de Clicks]],"")</f>
        <v>1</v>
      </c>
      <c r="P235" s="6">
        <f>Tabela_dados_base[[#This Row],[Total de Clicks]]/Tabela_dados_base[[#This Row],[Visualizações]]</f>
        <v>0.46982758620689657</v>
      </c>
      <c r="Q235" s="5">
        <f>Tabela_dados_base[[#This Row],[Vezes pesquisados]]/Tabela_dados_base[[#This Row],[Visualizações]]</f>
        <v>8.1896551724137928E-2</v>
      </c>
      <c r="R235" s="5">
        <f>Tabela_dados_base[[#This Row],[Visitas Diretas]]/Tabela_dados_base[[#This Row],[Visualizações]]</f>
        <v>0.18103448275862069</v>
      </c>
    </row>
    <row r="236" spans="1:18" x14ac:dyDescent="0.2">
      <c r="A236" t="s">
        <v>15</v>
      </c>
      <c r="B236" t="s">
        <v>16</v>
      </c>
      <c r="C236" t="s">
        <v>17</v>
      </c>
      <c r="D236">
        <v>1047</v>
      </c>
      <c r="E236" s="1">
        <v>44424</v>
      </c>
      <c r="F236" s="2">
        <v>2</v>
      </c>
      <c r="G236" s="2">
        <v>4</v>
      </c>
      <c r="H236" s="2">
        <v>0</v>
      </c>
      <c r="I236" s="2">
        <v>34</v>
      </c>
      <c r="J236" s="2">
        <v>6</v>
      </c>
      <c r="K236" s="2">
        <v>1</v>
      </c>
      <c r="L236" s="2">
        <v>32</v>
      </c>
      <c r="M236" s="2">
        <f>Tabela_dados_base[[#This Row],[Clicks pagos]]+Tabela_dados_base[[#This Row],[Clicks redes sociais]]</f>
        <v>6</v>
      </c>
      <c r="N236" s="5">
        <f>IFERROR(Tabela_dados_base[[#This Row],[Clicks pagos]]/Tabela_dados_base[[#This Row],[Total de Clicks]],"")</f>
        <v>0</v>
      </c>
      <c r="O236" s="5">
        <f>IFERROR(Tabela_dados_base[[#This Row],[Clicks redes sociais]]/Tabela_dados_base[[#This Row],[Total de Clicks]],"")</f>
        <v>1</v>
      </c>
      <c r="P236" s="6">
        <f>Tabela_dados_base[[#This Row],[Total de Clicks]]/Tabela_dados_base[[#This Row],[Visualizações]]</f>
        <v>0.1875</v>
      </c>
      <c r="Q236" s="5">
        <f>Tabela_dados_base[[#This Row],[Vezes pesquisados]]/Tabela_dados_base[[#This Row],[Visualizações]]</f>
        <v>3.125E-2</v>
      </c>
      <c r="R236" s="5">
        <f>Tabela_dados_base[[#This Row],[Visitas Diretas]]/Tabela_dados_base[[#This Row],[Visualizações]]</f>
        <v>6.25E-2</v>
      </c>
    </row>
    <row r="237" spans="1:18" x14ac:dyDescent="0.2">
      <c r="A237" t="s">
        <v>15</v>
      </c>
      <c r="B237" t="s">
        <v>16</v>
      </c>
      <c r="C237" t="s">
        <v>17</v>
      </c>
      <c r="D237">
        <v>1047</v>
      </c>
      <c r="E237" s="1">
        <v>44425</v>
      </c>
      <c r="F237" s="2">
        <v>49</v>
      </c>
      <c r="G237" s="2">
        <v>78</v>
      </c>
      <c r="H237" s="2">
        <v>0</v>
      </c>
      <c r="I237" s="2">
        <v>729</v>
      </c>
      <c r="J237" s="2">
        <v>127</v>
      </c>
      <c r="K237" s="2">
        <v>22</v>
      </c>
      <c r="L237" s="2">
        <v>291</v>
      </c>
      <c r="M237" s="2">
        <f>Tabela_dados_base[[#This Row],[Clicks pagos]]+Tabela_dados_base[[#This Row],[Clicks redes sociais]]</f>
        <v>127</v>
      </c>
      <c r="N237" s="5">
        <f>IFERROR(Tabela_dados_base[[#This Row],[Clicks pagos]]/Tabela_dados_base[[#This Row],[Total de Clicks]],"")</f>
        <v>0</v>
      </c>
      <c r="O237" s="5">
        <f>IFERROR(Tabela_dados_base[[#This Row],[Clicks redes sociais]]/Tabela_dados_base[[#This Row],[Total de Clicks]],"")</f>
        <v>1</v>
      </c>
      <c r="P237" s="6">
        <f>Tabela_dados_base[[#This Row],[Total de Clicks]]/Tabela_dados_base[[#This Row],[Visualizações]]</f>
        <v>0.43642611683848798</v>
      </c>
      <c r="Q237" s="5">
        <f>Tabela_dados_base[[#This Row],[Vezes pesquisados]]/Tabela_dados_base[[#This Row],[Visualizações]]</f>
        <v>7.560137457044673E-2</v>
      </c>
      <c r="R237" s="5">
        <f>Tabela_dados_base[[#This Row],[Visitas Diretas]]/Tabela_dados_base[[#This Row],[Visualizações]]</f>
        <v>0.16838487972508592</v>
      </c>
    </row>
    <row r="238" spans="1:18" x14ac:dyDescent="0.2">
      <c r="A238" t="s">
        <v>15</v>
      </c>
      <c r="B238" t="s">
        <v>16</v>
      </c>
      <c r="C238" t="s">
        <v>17</v>
      </c>
      <c r="D238">
        <v>1047</v>
      </c>
      <c r="E238" s="1">
        <v>44426</v>
      </c>
      <c r="F238" s="2">
        <v>19</v>
      </c>
      <c r="G238" s="2">
        <v>30</v>
      </c>
      <c r="H238" s="2">
        <v>0</v>
      </c>
      <c r="I238" s="2">
        <v>310</v>
      </c>
      <c r="J238" s="2">
        <v>49</v>
      </c>
      <c r="K238" s="2">
        <v>9</v>
      </c>
      <c r="L238" s="2">
        <v>106</v>
      </c>
      <c r="M238" s="2">
        <f>Tabela_dados_base[[#This Row],[Clicks pagos]]+Tabela_dados_base[[#This Row],[Clicks redes sociais]]</f>
        <v>49</v>
      </c>
      <c r="N238" s="5">
        <f>IFERROR(Tabela_dados_base[[#This Row],[Clicks pagos]]/Tabela_dados_base[[#This Row],[Total de Clicks]],"")</f>
        <v>0</v>
      </c>
      <c r="O238" s="5">
        <f>IFERROR(Tabela_dados_base[[#This Row],[Clicks redes sociais]]/Tabela_dados_base[[#This Row],[Total de Clicks]],"")</f>
        <v>1</v>
      </c>
      <c r="P238" s="6">
        <f>Tabela_dados_base[[#This Row],[Total de Clicks]]/Tabela_dados_base[[#This Row],[Visualizações]]</f>
        <v>0.46226415094339623</v>
      </c>
      <c r="Q238" s="5">
        <f>Tabela_dados_base[[#This Row],[Vezes pesquisados]]/Tabela_dados_base[[#This Row],[Visualizações]]</f>
        <v>8.4905660377358486E-2</v>
      </c>
      <c r="R238" s="5">
        <f>Tabela_dados_base[[#This Row],[Visitas Diretas]]/Tabela_dados_base[[#This Row],[Visualizações]]</f>
        <v>0.17924528301886791</v>
      </c>
    </row>
    <row r="239" spans="1:18" x14ac:dyDescent="0.2">
      <c r="A239" t="s">
        <v>15</v>
      </c>
      <c r="B239" t="s">
        <v>16</v>
      </c>
      <c r="C239" t="s">
        <v>17</v>
      </c>
      <c r="D239">
        <v>1047</v>
      </c>
      <c r="E239" s="1">
        <v>44428</v>
      </c>
      <c r="F239" s="2">
        <v>0</v>
      </c>
      <c r="G239" s="2">
        <v>0</v>
      </c>
      <c r="H239" s="2">
        <v>0</v>
      </c>
      <c r="I239" s="2">
        <v>73</v>
      </c>
      <c r="J239" s="2">
        <v>0</v>
      </c>
      <c r="K239" s="2">
        <v>0</v>
      </c>
      <c r="L239" s="2">
        <v>21</v>
      </c>
      <c r="M239" s="2">
        <f>Tabela_dados_base[[#This Row],[Clicks pagos]]+Tabela_dados_base[[#This Row],[Clicks redes sociais]]</f>
        <v>0</v>
      </c>
      <c r="N239" s="5" t="str">
        <f>IFERROR(Tabela_dados_base[[#This Row],[Clicks pagos]]/Tabela_dados_base[[#This Row],[Total de Clicks]],"")</f>
        <v/>
      </c>
      <c r="O239" s="5" t="str">
        <f>IFERROR(Tabela_dados_base[[#This Row],[Clicks redes sociais]]/Tabela_dados_base[[#This Row],[Total de Clicks]],"")</f>
        <v/>
      </c>
      <c r="P239" s="6">
        <f>Tabela_dados_base[[#This Row],[Total de Clicks]]/Tabela_dados_base[[#This Row],[Visualizações]]</f>
        <v>0</v>
      </c>
      <c r="Q239" s="5">
        <f>Tabela_dados_base[[#This Row],[Vezes pesquisados]]/Tabela_dados_base[[#This Row],[Visualizações]]</f>
        <v>0</v>
      </c>
      <c r="R239" s="5">
        <f>Tabela_dados_base[[#This Row],[Visitas Diretas]]/Tabela_dados_base[[#This Row],[Visualizações]]</f>
        <v>0</v>
      </c>
    </row>
    <row r="240" spans="1:18" x14ac:dyDescent="0.2">
      <c r="A240" t="s">
        <v>15</v>
      </c>
      <c r="B240" t="s">
        <v>16</v>
      </c>
      <c r="C240" t="s">
        <v>17</v>
      </c>
      <c r="D240">
        <v>1047</v>
      </c>
      <c r="E240" s="1">
        <v>44429</v>
      </c>
      <c r="F240" s="2">
        <v>27</v>
      </c>
      <c r="G240" s="2">
        <v>43</v>
      </c>
      <c r="H240" s="2">
        <v>0</v>
      </c>
      <c r="I240" s="2">
        <v>513</v>
      </c>
      <c r="J240" s="2">
        <v>69</v>
      </c>
      <c r="K240" s="2">
        <v>12</v>
      </c>
      <c r="L240" s="2">
        <v>175</v>
      </c>
      <c r="M240" s="2">
        <f>Tabela_dados_base[[#This Row],[Clicks pagos]]+Tabela_dados_base[[#This Row],[Clicks redes sociais]]</f>
        <v>69</v>
      </c>
      <c r="N240" s="5">
        <f>IFERROR(Tabela_dados_base[[#This Row],[Clicks pagos]]/Tabela_dados_base[[#This Row],[Total de Clicks]],"")</f>
        <v>0</v>
      </c>
      <c r="O240" s="5">
        <f>IFERROR(Tabela_dados_base[[#This Row],[Clicks redes sociais]]/Tabela_dados_base[[#This Row],[Total de Clicks]],"")</f>
        <v>1</v>
      </c>
      <c r="P240" s="6">
        <f>Tabela_dados_base[[#This Row],[Total de Clicks]]/Tabela_dados_base[[#This Row],[Visualizações]]</f>
        <v>0.39428571428571429</v>
      </c>
      <c r="Q240" s="5">
        <f>Tabela_dados_base[[#This Row],[Vezes pesquisados]]/Tabela_dados_base[[#This Row],[Visualizações]]</f>
        <v>6.8571428571428575E-2</v>
      </c>
      <c r="R240" s="5">
        <f>Tabela_dados_base[[#This Row],[Visitas Diretas]]/Tabela_dados_base[[#This Row],[Visualizações]]</f>
        <v>0.15428571428571428</v>
      </c>
    </row>
    <row r="241" spans="1:18" x14ac:dyDescent="0.2">
      <c r="A241" t="s">
        <v>15</v>
      </c>
      <c r="B241" t="s">
        <v>16</v>
      </c>
      <c r="C241" t="s">
        <v>17</v>
      </c>
      <c r="D241">
        <v>1047</v>
      </c>
      <c r="E241" s="1">
        <v>44430</v>
      </c>
      <c r="F241" s="2">
        <v>19</v>
      </c>
      <c r="G241" s="2">
        <v>31</v>
      </c>
      <c r="H241" s="2">
        <v>0</v>
      </c>
      <c r="I241" s="2">
        <v>242</v>
      </c>
      <c r="J241" s="2">
        <v>50</v>
      </c>
      <c r="K241" s="2">
        <v>9</v>
      </c>
      <c r="L241" s="2">
        <v>157</v>
      </c>
      <c r="M241" s="2">
        <f>Tabela_dados_base[[#This Row],[Clicks pagos]]+Tabela_dados_base[[#This Row],[Clicks redes sociais]]</f>
        <v>50</v>
      </c>
      <c r="N241" s="5">
        <f>IFERROR(Tabela_dados_base[[#This Row],[Clicks pagos]]/Tabela_dados_base[[#This Row],[Total de Clicks]],"")</f>
        <v>0</v>
      </c>
      <c r="O241" s="5">
        <f>IFERROR(Tabela_dados_base[[#This Row],[Clicks redes sociais]]/Tabela_dados_base[[#This Row],[Total de Clicks]],"")</f>
        <v>1</v>
      </c>
      <c r="P241" s="6">
        <f>Tabela_dados_base[[#This Row],[Total de Clicks]]/Tabela_dados_base[[#This Row],[Visualizações]]</f>
        <v>0.31847133757961782</v>
      </c>
      <c r="Q241" s="5">
        <f>Tabela_dados_base[[#This Row],[Vezes pesquisados]]/Tabela_dados_base[[#This Row],[Visualizações]]</f>
        <v>5.7324840764331211E-2</v>
      </c>
      <c r="R241" s="5">
        <f>Tabela_dados_base[[#This Row],[Visitas Diretas]]/Tabela_dados_base[[#This Row],[Visualizações]]</f>
        <v>0.12101910828025478</v>
      </c>
    </row>
    <row r="242" spans="1:18" x14ac:dyDescent="0.2">
      <c r="A242" t="s">
        <v>15</v>
      </c>
      <c r="B242" t="s">
        <v>16</v>
      </c>
      <c r="C242" t="s">
        <v>17</v>
      </c>
      <c r="D242">
        <v>1047</v>
      </c>
      <c r="E242" s="1">
        <v>44431</v>
      </c>
      <c r="F242" s="2">
        <v>26</v>
      </c>
      <c r="G242" s="2">
        <v>42</v>
      </c>
      <c r="H242" s="2">
        <v>0</v>
      </c>
      <c r="I242" s="2">
        <v>437</v>
      </c>
      <c r="J242" s="2">
        <v>68</v>
      </c>
      <c r="K242" s="2">
        <v>12</v>
      </c>
      <c r="L242" s="2">
        <v>229</v>
      </c>
      <c r="M242" s="2">
        <f>Tabela_dados_base[[#This Row],[Clicks pagos]]+Tabela_dados_base[[#This Row],[Clicks redes sociais]]</f>
        <v>68</v>
      </c>
      <c r="N242" s="5">
        <f>IFERROR(Tabela_dados_base[[#This Row],[Clicks pagos]]/Tabela_dados_base[[#This Row],[Total de Clicks]],"")</f>
        <v>0</v>
      </c>
      <c r="O242" s="5">
        <f>IFERROR(Tabela_dados_base[[#This Row],[Clicks redes sociais]]/Tabela_dados_base[[#This Row],[Total de Clicks]],"")</f>
        <v>1</v>
      </c>
      <c r="P242" s="6">
        <f>Tabela_dados_base[[#This Row],[Total de Clicks]]/Tabela_dados_base[[#This Row],[Visualizações]]</f>
        <v>0.29694323144104806</v>
      </c>
      <c r="Q242" s="5">
        <f>Tabela_dados_base[[#This Row],[Vezes pesquisados]]/Tabela_dados_base[[#This Row],[Visualizações]]</f>
        <v>5.2401746724890827E-2</v>
      </c>
      <c r="R242" s="5">
        <f>Tabela_dados_base[[#This Row],[Visitas Diretas]]/Tabela_dados_base[[#This Row],[Visualizações]]</f>
        <v>0.11353711790393013</v>
      </c>
    </row>
    <row r="243" spans="1:18" x14ac:dyDescent="0.2">
      <c r="A243" t="s">
        <v>15</v>
      </c>
      <c r="B243" t="s">
        <v>16</v>
      </c>
      <c r="C243" t="s">
        <v>17</v>
      </c>
      <c r="D243">
        <v>1047</v>
      </c>
      <c r="E243" s="1">
        <v>44432</v>
      </c>
      <c r="F243" s="2">
        <v>24</v>
      </c>
      <c r="G243" s="2">
        <v>38</v>
      </c>
      <c r="H243" s="2">
        <v>0</v>
      </c>
      <c r="I243" s="2">
        <v>492</v>
      </c>
      <c r="J243" s="2">
        <v>62</v>
      </c>
      <c r="K243" s="2">
        <v>11</v>
      </c>
      <c r="L243" s="2">
        <v>208</v>
      </c>
      <c r="M243" s="2">
        <f>Tabela_dados_base[[#This Row],[Clicks pagos]]+Tabela_dados_base[[#This Row],[Clicks redes sociais]]</f>
        <v>62</v>
      </c>
      <c r="N243" s="5">
        <f>IFERROR(Tabela_dados_base[[#This Row],[Clicks pagos]]/Tabela_dados_base[[#This Row],[Total de Clicks]],"")</f>
        <v>0</v>
      </c>
      <c r="O243" s="5">
        <f>IFERROR(Tabela_dados_base[[#This Row],[Clicks redes sociais]]/Tabela_dados_base[[#This Row],[Total de Clicks]],"")</f>
        <v>1</v>
      </c>
      <c r="P243" s="6">
        <f>Tabela_dados_base[[#This Row],[Total de Clicks]]/Tabela_dados_base[[#This Row],[Visualizações]]</f>
        <v>0.29807692307692307</v>
      </c>
      <c r="Q243" s="5">
        <f>Tabela_dados_base[[#This Row],[Vezes pesquisados]]/Tabela_dados_base[[#This Row],[Visualizações]]</f>
        <v>5.2884615384615384E-2</v>
      </c>
      <c r="R243" s="5">
        <f>Tabela_dados_base[[#This Row],[Visitas Diretas]]/Tabela_dados_base[[#This Row],[Visualizações]]</f>
        <v>0.11538461538461539</v>
      </c>
    </row>
    <row r="244" spans="1:18" x14ac:dyDescent="0.2">
      <c r="A244" t="s">
        <v>15</v>
      </c>
      <c r="B244" t="s">
        <v>16</v>
      </c>
      <c r="C244" t="s">
        <v>17</v>
      </c>
      <c r="D244">
        <v>1047</v>
      </c>
      <c r="E244" s="1">
        <v>44433</v>
      </c>
      <c r="F244" s="2">
        <v>48</v>
      </c>
      <c r="G244" s="2">
        <v>77</v>
      </c>
      <c r="H244" s="2">
        <v>0</v>
      </c>
      <c r="I244" s="2">
        <v>908</v>
      </c>
      <c r="J244" s="2">
        <v>125</v>
      </c>
      <c r="K244" s="2">
        <v>22</v>
      </c>
      <c r="L244" s="2">
        <v>243</v>
      </c>
      <c r="M244" s="2">
        <f>Tabela_dados_base[[#This Row],[Clicks pagos]]+Tabela_dados_base[[#This Row],[Clicks redes sociais]]</f>
        <v>125</v>
      </c>
      <c r="N244" s="5">
        <f>IFERROR(Tabela_dados_base[[#This Row],[Clicks pagos]]/Tabela_dados_base[[#This Row],[Total de Clicks]],"")</f>
        <v>0</v>
      </c>
      <c r="O244" s="5">
        <f>IFERROR(Tabela_dados_base[[#This Row],[Clicks redes sociais]]/Tabela_dados_base[[#This Row],[Total de Clicks]],"")</f>
        <v>1</v>
      </c>
      <c r="P244" s="6">
        <f>Tabela_dados_base[[#This Row],[Total de Clicks]]/Tabela_dados_base[[#This Row],[Visualizações]]</f>
        <v>0.51440329218106995</v>
      </c>
      <c r="Q244" s="5">
        <f>Tabela_dados_base[[#This Row],[Vezes pesquisados]]/Tabela_dados_base[[#This Row],[Visualizações]]</f>
        <v>9.0534979423868317E-2</v>
      </c>
      <c r="R244" s="5">
        <f>Tabela_dados_base[[#This Row],[Visitas Diretas]]/Tabela_dados_base[[#This Row],[Visualizações]]</f>
        <v>0.19753086419753085</v>
      </c>
    </row>
    <row r="245" spans="1:18" x14ac:dyDescent="0.2">
      <c r="A245" t="s">
        <v>15</v>
      </c>
      <c r="B245" t="s">
        <v>16</v>
      </c>
      <c r="C245" t="s">
        <v>17</v>
      </c>
      <c r="D245">
        <v>1047</v>
      </c>
      <c r="E245" s="1">
        <v>44434</v>
      </c>
      <c r="F245" s="2">
        <v>20</v>
      </c>
      <c r="G245" s="2">
        <v>32</v>
      </c>
      <c r="H245" s="2">
        <v>0</v>
      </c>
      <c r="I245" s="2">
        <v>559</v>
      </c>
      <c r="J245" s="2">
        <v>52</v>
      </c>
      <c r="K245" s="2">
        <v>9</v>
      </c>
      <c r="L245" s="2">
        <v>149</v>
      </c>
      <c r="M245" s="2">
        <f>Tabela_dados_base[[#This Row],[Clicks pagos]]+Tabela_dados_base[[#This Row],[Clicks redes sociais]]</f>
        <v>52</v>
      </c>
      <c r="N245" s="5">
        <f>IFERROR(Tabela_dados_base[[#This Row],[Clicks pagos]]/Tabela_dados_base[[#This Row],[Total de Clicks]],"")</f>
        <v>0</v>
      </c>
      <c r="O245" s="5">
        <f>IFERROR(Tabela_dados_base[[#This Row],[Clicks redes sociais]]/Tabela_dados_base[[#This Row],[Total de Clicks]],"")</f>
        <v>1</v>
      </c>
      <c r="P245" s="6">
        <f>Tabela_dados_base[[#This Row],[Total de Clicks]]/Tabela_dados_base[[#This Row],[Visualizações]]</f>
        <v>0.34899328859060402</v>
      </c>
      <c r="Q245" s="5">
        <f>Tabela_dados_base[[#This Row],[Vezes pesquisados]]/Tabela_dados_base[[#This Row],[Visualizações]]</f>
        <v>6.0402684563758392E-2</v>
      </c>
      <c r="R245" s="5">
        <f>Tabela_dados_base[[#This Row],[Visitas Diretas]]/Tabela_dados_base[[#This Row],[Visualizações]]</f>
        <v>0.13422818791946309</v>
      </c>
    </row>
    <row r="246" spans="1:18" x14ac:dyDescent="0.2">
      <c r="A246" t="s">
        <v>15</v>
      </c>
      <c r="B246" t="s">
        <v>16</v>
      </c>
      <c r="C246" t="s">
        <v>17</v>
      </c>
      <c r="D246">
        <v>1047</v>
      </c>
      <c r="E246" s="1">
        <v>44435</v>
      </c>
      <c r="F246" s="2">
        <v>66</v>
      </c>
      <c r="G246" s="2">
        <v>106</v>
      </c>
      <c r="H246" s="2">
        <v>0</v>
      </c>
      <c r="I246" s="2">
        <v>618</v>
      </c>
      <c r="J246" s="2">
        <v>172</v>
      </c>
      <c r="K246" s="2">
        <v>30</v>
      </c>
      <c r="L246" s="2">
        <v>430</v>
      </c>
      <c r="M246" s="2">
        <f>Tabela_dados_base[[#This Row],[Clicks pagos]]+Tabela_dados_base[[#This Row],[Clicks redes sociais]]</f>
        <v>172</v>
      </c>
      <c r="N246" s="5">
        <f>IFERROR(Tabela_dados_base[[#This Row],[Clicks pagos]]/Tabela_dados_base[[#This Row],[Total de Clicks]],"")</f>
        <v>0</v>
      </c>
      <c r="O246" s="5">
        <f>IFERROR(Tabela_dados_base[[#This Row],[Clicks redes sociais]]/Tabela_dados_base[[#This Row],[Total de Clicks]],"")</f>
        <v>1</v>
      </c>
      <c r="P246" s="6">
        <f>Tabela_dados_base[[#This Row],[Total de Clicks]]/Tabela_dados_base[[#This Row],[Visualizações]]</f>
        <v>0.4</v>
      </c>
      <c r="Q246" s="5">
        <f>Tabela_dados_base[[#This Row],[Vezes pesquisados]]/Tabela_dados_base[[#This Row],[Visualizações]]</f>
        <v>6.9767441860465115E-2</v>
      </c>
      <c r="R246" s="5">
        <f>Tabela_dados_base[[#This Row],[Visitas Diretas]]/Tabela_dados_base[[#This Row],[Visualizações]]</f>
        <v>0.15348837209302327</v>
      </c>
    </row>
    <row r="247" spans="1:18" x14ac:dyDescent="0.2">
      <c r="A247" t="s">
        <v>15</v>
      </c>
      <c r="B247" t="s">
        <v>16</v>
      </c>
      <c r="C247" t="s">
        <v>17</v>
      </c>
      <c r="D247">
        <v>1047</v>
      </c>
      <c r="E247" s="1">
        <v>44436</v>
      </c>
      <c r="F247" s="2">
        <v>27</v>
      </c>
      <c r="G247" s="2">
        <v>44</v>
      </c>
      <c r="H247" s="2">
        <v>0</v>
      </c>
      <c r="I247" s="2">
        <v>388</v>
      </c>
      <c r="J247" s="2">
        <v>71</v>
      </c>
      <c r="K247" s="2">
        <v>12</v>
      </c>
      <c r="L247" s="2">
        <v>177</v>
      </c>
      <c r="M247" s="2">
        <f>Tabela_dados_base[[#This Row],[Clicks pagos]]+Tabela_dados_base[[#This Row],[Clicks redes sociais]]</f>
        <v>71</v>
      </c>
      <c r="N247" s="5">
        <f>IFERROR(Tabela_dados_base[[#This Row],[Clicks pagos]]/Tabela_dados_base[[#This Row],[Total de Clicks]],"")</f>
        <v>0</v>
      </c>
      <c r="O247" s="5">
        <f>IFERROR(Tabela_dados_base[[#This Row],[Clicks redes sociais]]/Tabela_dados_base[[#This Row],[Total de Clicks]],"")</f>
        <v>1</v>
      </c>
      <c r="P247" s="6">
        <f>Tabela_dados_base[[#This Row],[Total de Clicks]]/Tabela_dados_base[[#This Row],[Visualizações]]</f>
        <v>0.40112994350282488</v>
      </c>
      <c r="Q247" s="5">
        <f>Tabela_dados_base[[#This Row],[Vezes pesquisados]]/Tabela_dados_base[[#This Row],[Visualizações]]</f>
        <v>6.7796610169491525E-2</v>
      </c>
      <c r="R247" s="5">
        <f>Tabela_dados_base[[#This Row],[Visitas Diretas]]/Tabela_dados_base[[#This Row],[Visualizações]]</f>
        <v>0.15254237288135594</v>
      </c>
    </row>
    <row r="248" spans="1:18" x14ac:dyDescent="0.2">
      <c r="A248" t="s">
        <v>15</v>
      </c>
      <c r="B248" t="s">
        <v>16</v>
      </c>
      <c r="C248" t="s">
        <v>17</v>
      </c>
      <c r="D248">
        <v>1047</v>
      </c>
      <c r="E248" s="1">
        <v>44437</v>
      </c>
      <c r="F248" s="2">
        <v>18</v>
      </c>
      <c r="G248" s="2">
        <v>29</v>
      </c>
      <c r="H248" s="2">
        <v>0</v>
      </c>
      <c r="I248" s="2">
        <v>447</v>
      </c>
      <c r="J248" s="2">
        <v>47</v>
      </c>
      <c r="K248" s="2">
        <v>8</v>
      </c>
      <c r="L248" s="2">
        <v>121</v>
      </c>
      <c r="M248" s="2">
        <f>Tabela_dados_base[[#This Row],[Clicks pagos]]+Tabela_dados_base[[#This Row],[Clicks redes sociais]]</f>
        <v>47</v>
      </c>
      <c r="N248" s="5">
        <f>IFERROR(Tabela_dados_base[[#This Row],[Clicks pagos]]/Tabela_dados_base[[#This Row],[Total de Clicks]],"")</f>
        <v>0</v>
      </c>
      <c r="O248" s="5">
        <f>IFERROR(Tabela_dados_base[[#This Row],[Clicks redes sociais]]/Tabela_dados_base[[#This Row],[Total de Clicks]],"")</f>
        <v>1</v>
      </c>
      <c r="P248" s="6">
        <f>Tabela_dados_base[[#This Row],[Total de Clicks]]/Tabela_dados_base[[#This Row],[Visualizações]]</f>
        <v>0.38842975206611569</v>
      </c>
      <c r="Q248" s="5">
        <f>Tabela_dados_base[[#This Row],[Vezes pesquisados]]/Tabela_dados_base[[#This Row],[Visualizações]]</f>
        <v>6.6115702479338845E-2</v>
      </c>
      <c r="R248" s="5">
        <f>Tabela_dados_base[[#This Row],[Visitas Diretas]]/Tabela_dados_base[[#This Row],[Visualizações]]</f>
        <v>0.1487603305785124</v>
      </c>
    </row>
    <row r="249" spans="1:18" x14ac:dyDescent="0.2">
      <c r="A249" t="s">
        <v>15</v>
      </c>
      <c r="B249" t="s">
        <v>16</v>
      </c>
      <c r="C249" t="s">
        <v>17</v>
      </c>
      <c r="D249">
        <v>1047</v>
      </c>
      <c r="E249" s="1">
        <v>44438</v>
      </c>
      <c r="F249" s="2">
        <v>9</v>
      </c>
      <c r="G249" s="2">
        <v>15</v>
      </c>
      <c r="H249" s="2">
        <v>0</v>
      </c>
      <c r="I249" s="2">
        <v>257</v>
      </c>
      <c r="J249" s="2">
        <v>24</v>
      </c>
      <c r="K249" s="2">
        <v>4</v>
      </c>
      <c r="L249" s="2">
        <v>132</v>
      </c>
      <c r="M249" s="2">
        <f>Tabela_dados_base[[#This Row],[Clicks pagos]]+Tabela_dados_base[[#This Row],[Clicks redes sociais]]</f>
        <v>24</v>
      </c>
      <c r="N249" s="5">
        <f>IFERROR(Tabela_dados_base[[#This Row],[Clicks pagos]]/Tabela_dados_base[[#This Row],[Total de Clicks]],"")</f>
        <v>0</v>
      </c>
      <c r="O249" s="5">
        <f>IFERROR(Tabela_dados_base[[#This Row],[Clicks redes sociais]]/Tabela_dados_base[[#This Row],[Total de Clicks]],"")</f>
        <v>1</v>
      </c>
      <c r="P249" s="6">
        <f>Tabela_dados_base[[#This Row],[Total de Clicks]]/Tabela_dados_base[[#This Row],[Visualizações]]</f>
        <v>0.18181818181818182</v>
      </c>
      <c r="Q249" s="5">
        <f>Tabela_dados_base[[#This Row],[Vezes pesquisados]]/Tabela_dados_base[[#This Row],[Visualizações]]</f>
        <v>3.0303030303030304E-2</v>
      </c>
      <c r="R249" s="5">
        <f>Tabela_dados_base[[#This Row],[Visitas Diretas]]/Tabela_dados_base[[#This Row],[Visualizações]]</f>
        <v>6.8181818181818177E-2</v>
      </c>
    </row>
    <row r="250" spans="1:18" x14ac:dyDescent="0.2">
      <c r="A250" t="s">
        <v>15</v>
      </c>
      <c r="B250" t="s">
        <v>16</v>
      </c>
      <c r="C250" t="s">
        <v>17</v>
      </c>
      <c r="D250">
        <v>1047</v>
      </c>
      <c r="E250" s="1">
        <v>44439</v>
      </c>
      <c r="F250" s="2">
        <v>43</v>
      </c>
      <c r="G250" s="2">
        <v>69</v>
      </c>
      <c r="H250" s="2">
        <v>0</v>
      </c>
      <c r="I250" s="2">
        <v>1158</v>
      </c>
      <c r="J250" s="2">
        <v>112</v>
      </c>
      <c r="K250" s="2">
        <v>19</v>
      </c>
      <c r="L250" s="2">
        <v>290</v>
      </c>
      <c r="M250" s="2">
        <f>Tabela_dados_base[[#This Row],[Clicks pagos]]+Tabela_dados_base[[#This Row],[Clicks redes sociais]]</f>
        <v>112</v>
      </c>
      <c r="N250" s="5">
        <f>IFERROR(Tabela_dados_base[[#This Row],[Clicks pagos]]/Tabela_dados_base[[#This Row],[Total de Clicks]],"")</f>
        <v>0</v>
      </c>
      <c r="O250" s="5">
        <f>IFERROR(Tabela_dados_base[[#This Row],[Clicks redes sociais]]/Tabela_dados_base[[#This Row],[Total de Clicks]],"")</f>
        <v>1</v>
      </c>
      <c r="P250" s="6">
        <f>Tabela_dados_base[[#This Row],[Total de Clicks]]/Tabela_dados_base[[#This Row],[Visualizações]]</f>
        <v>0.38620689655172413</v>
      </c>
      <c r="Q250" s="5">
        <f>Tabela_dados_base[[#This Row],[Vezes pesquisados]]/Tabela_dados_base[[#This Row],[Visualizações]]</f>
        <v>6.5517241379310351E-2</v>
      </c>
      <c r="R250" s="5">
        <f>Tabela_dados_base[[#This Row],[Visitas Diretas]]/Tabela_dados_base[[#This Row],[Visualizações]]</f>
        <v>0.14827586206896551</v>
      </c>
    </row>
    <row r="251" spans="1:18" x14ac:dyDescent="0.2">
      <c r="A251" t="s">
        <v>15</v>
      </c>
      <c r="B251" t="s">
        <v>16</v>
      </c>
      <c r="C251" t="s">
        <v>17</v>
      </c>
      <c r="D251">
        <v>1047</v>
      </c>
      <c r="E251" s="1">
        <v>44440</v>
      </c>
      <c r="F251" s="2">
        <v>10</v>
      </c>
      <c r="G251" s="2">
        <v>15</v>
      </c>
      <c r="H251" s="2">
        <v>0</v>
      </c>
      <c r="I251" s="2">
        <v>217</v>
      </c>
      <c r="J251" s="2">
        <v>25</v>
      </c>
      <c r="K251" s="2">
        <v>4</v>
      </c>
      <c r="L251" s="2">
        <v>92</v>
      </c>
      <c r="M251" s="2">
        <f>Tabela_dados_base[[#This Row],[Clicks pagos]]+Tabela_dados_base[[#This Row],[Clicks redes sociais]]</f>
        <v>25</v>
      </c>
      <c r="N251" s="5">
        <f>IFERROR(Tabela_dados_base[[#This Row],[Clicks pagos]]/Tabela_dados_base[[#This Row],[Total de Clicks]],"")</f>
        <v>0</v>
      </c>
      <c r="O251" s="5">
        <f>IFERROR(Tabela_dados_base[[#This Row],[Clicks redes sociais]]/Tabela_dados_base[[#This Row],[Total de Clicks]],"")</f>
        <v>1</v>
      </c>
      <c r="P251" s="6">
        <f>Tabela_dados_base[[#This Row],[Total de Clicks]]/Tabela_dados_base[[#This Row],[Visualizações]]</f>
        <v>0.27173913043478259</v>
      </c>
      <c r="Q251" s="5">
        <f>Tabela_dados_base[[#This Row],[Vezes pesquisados]]/Tabela_dados_base[[#This Row],[Visualizações]]</f>
        <v>4.3478260869565216E-2</v>
      </c>
      <c r="R251" s="5">
        <f>Tabela_dados_base[[#This Row],[Visitas Diretas]]/Tabela_dados_base[[#This Row],[Visualizações]]</f>
        <v>0.10869565217391304</v>
      </c>
    </row>
    <row r="252" spans="1:18" x14ac:dyDescent="0.2">
      <c r="A252" t="s">
        <v>15</v>
      </c>
      <c r="B252" t="s">
        <v>16</v>
      </c>
      <c r="C252" t="s">
        <v>17</v>
      </c>
      <c r="D252">
        <v>1047</v>
      </c>
      <c r="E252" s="1">
        <v>44441</v>
      </c>
      <c r="F252" s="2">
        <v>4</v>
      </c>
      <c r="G252" s="2">
        <v>7</v>
      </c>
      <c r="H252" s="2">
        <v>0</v>
      </c>
      <c r="I252" s="2">
        <v>139</v>
      </c>
      <c r="J252" s="2">
        <v>11</v>
      </c>
      <c r="K252" s="2">
        <v>2</v>
      </c>
      <c r="L252" s="2">
        <v>56</v>
      </c>
      <c r="M252" s="2">
        <f>Tabela_dados_base[[#This Row],[Clicks pagos]]+Tabela_dados_base[[#This Row],[Clicks redes sociais]]</f>
        <v>11</v>
      </c>
      <c r="N252" s="5">
        <f>IFERROR(Tabela_dados_base[[#This Row],[Clicks pagos]]/Tabela_dados_base[[#This Row],[Total de Clicks]],"")</f>
        <v>0</v>
      </c>
      <c r="O252" s="5">
        <f>IFERROR(Tabela_dados_base[[#This Row],[Clicks redes sociais]]/Tabela_dados_base[[#This Row],[Total de Clicks]],"")</f>
        <v>1</v>
      </c>
      <c r="P252" s="6">
        <f>Tabela_dados_base[[#This Row],[Total de Clicks]]/Tabela_dados_base[[#This Row],[Visualizações]]</f>
        <v>0.19642857142857142</v>
      </c>
      <c r="Q252" s="5">
        <f>Tabela_dados_base[[#This Row],[Vezes pesquisados]]/Tabela_dados_base[[#This Row],[Visualizações]]</f>
        <v>3.5714285714285712E-2</v>
      </c>
      <c r="R252" s="5">
        <f>Tabela_dados_base[[#This Row],[Visitas Diretas]]/Tabela_dados_base[[#This Row],[Visualizações]]</f>
        <v>7.1428571428571425E-2</v>
      </c>
    </row>
    <row r="253" spans="1:18" x14ac:dyDescent="0.2">
      <c r="A253" t="s">
        <v>15</v>
      </c>
      <c r="B253" t="s">
        <v>16</v>
      </c>
      <c r="C253" t="s">
        <v>17</v>
      </c>
      <c r="D253">
        <v>1047</v>
      </c>
      <c r="E253" s="1">
        <v>44442</v>
      </c>
      <c r="F253" s="2">
        <v>9</v>
      </c>
      <c r="G253" s="2">
        <v>14</v>
      </c>
      <c r="H253" s="2">
        <v>0</v>
      </c>
      <c r="I253" s="2">
        <v>148</v>
      </c>
      <c r="J253" s="2">
        <v>23</v>
      </c>
      <c r="K253" s="2">
        <v>4</v>
      </c>
      <c r="L253" s="2">
        <v>62</v>
      </c>
      <c r="M253" s="2">
        <f>Tabela_dados_base[[#This Row],[Clicks pagos]]+Tabela_dados_base[[#This Row],[Clicks redes sociais]]</f>
        <v>23</v>
      </c>
      <c r="N253" s="5">
        <f>IFERROR(Tabela_dados_base[[#This Row],[Clicks pagos]]/Tabela_dados_base[[#This Row],[Total de Clicks]],"")</f>
        <v>0</v>
      </c>
      <c r="O253" s="5">
        <f>IFERROR(Tabela_dados_base[[#This Row],[Clicks redes sociais]]/Tabela_dados_base[[#This Row],[Total de Clicks]],"")</f>
        <v>1</v>
      </c>
      <c r="P253" s="6">
        <f>Tabela_dados_base[[#This Row],[Total de Clicks]]/Tabela_dados_base[[#This Row],[Visualizações]]</f>
        <v>0.37096774193548387</v>
      </c>
      <c r="Q253" s="5">
        <f>Tabela_dados_base[[#This Row],[Vezes pesquisados]]/Tabela_dados_base[[#This Row],[Visualizações]]</f>
        <v>6.4516129032258063E-2</v>
      </c>
      <c r="R253" s="5">
        <f>Tabela_dados_base[[#This Row],[Visitas Diretas]]/Tabela_dados_base[[#This Row],[Visualizações]]</f>
        <v>0.14516129032258066</v>
      </c>
    </row>
    <row r="254" spans="1:18" x14ac:dyDescent="0.2">
      <c r="A254" t="s">
        <v>15</v>
      </c>
      <c r="B254" t="s">
        <v>16</v>
      </c>
      <c r="C254" t="s">
        <v>17</v>
      </c>
      <c r="D254">
        <v>1047</v>
      </c>
      <c r="E254" s="1">
        <v>44443</v>
      </c>
      <c r="F254" s="2">
        <v>18</v>
      </c>
      <c r="G254" s="2">
        <v>29</v>
      </c>
      <c r="H254" s="2">
        <v>0</v>
      </c>
      <c r="I254" s="2">
        <v>182</v>
      </c>
      <c r="J254" s="2">
        <v>47</v>
      </c>
      <c r="K254" s="2">
        <v>8</v>
      </c>
      <c r="L254" s="2">
        <v>160</v>
      </c>
      <c r="M254" s="2">
        <f>Tabela_dados_base[[#This Row],[Clicks pagos]]+Tabela_dados_base[[#This Row],[Clicks redes sociais]]</f>
        <v>47</v>
      </c>
      <c r="N254" s="5">
        <f>IFERROR(Tabela_dados_base[[#This Row],[Clicks pagos]]/Tabela_dados_base[[#This Row],[Total de Clicks]],"")</f>
        <v>0</v>
      </c>
      <c r="O254" s="5">
        <f>IFERROR(Tabela_dados_base[[#This Row],[Clicks redes sociais]]/Tabela_dados_base[[#This Row],[Total de Clicks]],"")</f>
        <v>1</v>
      </c>
      <c r="P254" s="6">
        <f>Tabela_dados_base[[#This Row],[Total de Clicks]]/Tabela_dados_base[[#This Row],[Visualizações]]</f>
        <v>0.29375000000000001</v>
      </c>
      <c r="Q254" s="5">
        <f>Tabela_dados_base[[#This Row],[Vezes pesquisados]]/Tabela_dados_base[[#This Row],[Visualizações]]</f>
        <v>0.05</v>
      </c>
      <c r="R254" s="5">
        <f>Tabela_dados_base[[#This Row],[Visitas Diretas]]/Tabela_dados_base[[#This Row],[Visualizações]]</f>
        <v>0.1125</v>
      </c>
    </row>
    <row r="255" spans="1:18" x14ac:dyDescent="0.2">
      <c r="A255" t="s">
        <v>15</v>
      </c>
      <c r="B255" t="s">
        <v>16</v>
      </c>
      <c r="C255" t="s">
        <v>17</v>
      </c>
      <c r="D255">
        <v>1047</v>
      </c>
      <c r="E255" s="1">
        <v>44450</v>
      </c>
      <c r="F255" s="2">
        <v>15</v>
      </c>
      <c r="G255" s="2">
        <v>24</v>
      </c>
      <c r="H255" s="2">
        <v>0</v>
      </c>
      <c r="I255" s="2">
        <v>509</v>
      </c>
      <c r="J255" s="2">
        <v>40</v>
      </c>
      <c r="K255" s="2">
        <v>7</v>
      </c>
      <c r="L255" s="2">
        <v>140</v>
      </c>
      <c r="M255" s="2">
        <f>Tabela_dados_base[[#This Row],[Clicks pagos]]+Tabela_dados_base[[#This Row],[Clicks redes sociais]]</f>
        <v>40</v>
      </c>
      <c r="N255" s="5">
        <f>IFERROR(Tabela_dados_base[[#This Row],[Clicks pagos]]/Tabela_dados_base[[#This Row],[Total de Clicks]],"")</f>
        <v>0</v>
      </c>
      <c r="O255" s="5">
        <f>IFERROR(Tabela_dados_base[[#This Row],[Clicks redes sociais]]/Tabela_dados_base[[#This Row],[Total de Clicks]],"")</f>
        <v>1</v>
      </c>
      <c r="P255" s="6">
        <f>Tabela_dados_base[[#This Row],[Total de Clicks]]/Tabela_dados_base[[#This Row],[Visualizações]]</f>
        <v>0.2857142857142857</v>
      </c>
      <c r="Q255" s="5">
        <f>Tabela_dados_base[[#This Row],[Vezes pesquisados]]/Tabela_dados_base[[#This Row],[Visualizações]]</f>
        <v>0.05</v>
      </c>
      <c r="R255" s="5">
        <f>Tabela_dados_base[[#This Row],[Visitas Diretas]]/Tabela_dados_base[[#This Row],[Visualizações]]</f>
        <v>0.10714285714285714</v>
      </c>
    </row>
    <row r="256" spans="1:18" x14ac:dyDescent="0.2">
      <c r="A256" t="s">
        <v>15</v>
      </c>
      <c r="B256" t="s">
        <v>16</v>
      </c>
      <c r="C256" t="s">
        <v>17</v>
      </c>
      <c r="D256">
        <v>1047</v>
      </c>
      <c r="E256" s="1">
        <v>44453</v>
      </c>
      <c r="F256" s="2">
        <v>29</v>
      </c>
      <c r="G256" s="2">
        <v>46</v>
      </c>
      <c r="H256" s="2">
        <v>0</v>
      </c>
      <c r="I256" s="2">
        <v>664</v>
      </c>
      <c r="J256" s="2">
        <v>75</v>
      </c>
      <c r="K256" s="2">
        <v>13</v>
      </c>
      <c r="L256" s="2">
        <v>244</v>
      </c>
      <c r="M256" s="2">
        <f>Tabela_dados_base[[#This Row],[Clicks pagos]]+Tabela_dados_base[[#This Row],[Clicks redes sociais]]</f>
        <v>75</v>
      </c>
      <c r="N256" s="5">
        <f>IFERROR(Tabela_dados_base[[#This Row],[Clicks pagos]]/Tabela_dados_base[[#This Row],[Total de Clicks]],"")</f>
        <v>0</v>
      </c>
      <c r="O256" s="5">
        <f>IFERROR(Tabela_dados_base[[#This Row],[Clicks redes sociais]]/Tabela_dados_base[[#This Row],[Total de Clicks]],"")</f>
        <v>1</v>
      </c>
      <c r="P256" s="6">
        <f>Tabela_dados_base[[#This Row],[Total de Clicks]]/Tabela_dados_base[[#This Row],[Visualizações]]</f>
        <v>0.30737704918032788</v>
      </c>
      <c r="Q256" s="5">
        <f>Tabela_dados_base[[#This Row],[Vezes pesquisados]]/Tabela_dados_base[[#This Row],[Visualizações]]</f>
        <v>5.3278688524590161E-2</v>
      </c>
      <c r="R256" s="5">
        <f>Tabela_dados_base[[#This Row],[Visitas Diretas]]/Tabela_dados_base[[#This Row],[Visualizações]]</f>
        <v>0.11885245901639344</v>
      </c>
    </row>
    <row r="257" spans="1:18" x14ac:dyDescent="0.2">
      <c r="A257" t="s">
        <v>15</v>
      </c>
      <c r="B257" t="s">
        <v>16</v>
      </c>
      <c r="C257" t="s">
        <v>17</v>
      </c>
      <c r="D257">
        <v>1047</v>
      </c>
      <c r="E257" s="1">
        <v>44455</v>
      </c>
      <c r="F257" s="2">
        <v>188</v>
      </c>
      <c r="G257" s="2">
        <v>300</v>
      </c>
      <c r="H257" s="2">
        <v>0</v>
      </c>
      <c r="I257" s="2">
        <v>2400</v>
      </c>
      <c r="J257" s="2">
        <v>488</v>
      </c>
      <c r="K257" s="2">
        <v>84</v>
      </c>
      <c r="L257" s="2">
        <v>999</v>
      </c>
      <c r="M257" s="2">
        <f>Tabela_dados_base[[#This Row],[Clicks pagos]]+Tabela_dados_base[[#This Row],[Clicks redes sociais]]</f>
        <v>488</v>
      </c>
      <c r="N257" s="5">
        <f>IFERROR(Tabela_dados_base[[#This Row],[Clicks pagos]]/Tabela_dados_base[[#This Row],[Total de Clicks]],"")</f>
        <v>0</v>
      </c>
      <c r="O257" s="5">
        <f>IFERROR(Tabela_dados_base[[#This Row],[Clicks redes sociais]]/Tabela_dados_base[[#This Row],[Total de Clicks]],"")</f>
        <v>1</v>
      </c>
      <c r="P257" s="6">
        <f>Tabela_dados_base[[#This Row],[Total de Clicks]]/Tabela_dados_base[[#This Row],[Visualizações]]</f>
        <v>0.48848848848848847</v>
      </c>
      <c r="Q257" s="5">
        <f>Tabela_dados_base[[#This Row],[Vezes pesquisados]]/Tabela_dados_base[[#This Row],[Visualizações]]</f>
        <v>8.408408408408409E-2</v>
      </c>
      <c r="R257" s="5">
        <f>Tabela_dados_base[[#This Row],[Visitas Diretas]]/Tabela_dados_base[[#This Row],[Visualizações]]</f>
        <v>0.18818818818818819</v>
      </c>
    </row>
    <row r="258" spans="1:18" x14ac:dyDescent="0.2">
      <c r="A258" t="s">
        <v>15</v>
      </c>
      <c r="B258" t="s">
        <v>16</v>
      </c>
      <c r="C258" t="s">
        <v>17</v>
      </c>
      <c r="D258">
        <v>1047</v>
      </c>
      <c r="E258" s="1">
        <v>44457</v>
      </c>
      <c r="F258" s="2">
        <v>50</v>
      </c>
      <c r="G258" s="2">
        <v>81</v>
      </c>
      <c r="H258" s="2">
        <v>0</v>
      </c>
      <c r="I258" s="2">
        <v>630</v>
      </c>
      <c r="J258" s="2">
        <v>131</v>
      </c>
      <c r="K258" s="2">
        <v>23</v>
      </c>
      <c r="L258" s="2">
        <v>254</v>
      </c>
      <c r="M258" s="2">
        <f>Tabela_dados_base[[#This Row],[Clicks pagos]]+Tabela_dados_base[[#This Row],[Clicks redes sociais]]</f>
        <v>131</v>
      </c>
      <c r="N258" s="5">
        <f>IFERROR(Tabela_dados_base[[#This Row],[Clicks pagos]]/Tabela_dados_base[[#This Row],[Total de Clicks]],"")</f>
        <v>0</v>
      </c>
      <c r="O258" s="5">
        <f>IFERROR(Tabela_dados_base[[#This Row],[Clicks redes sociais]]/Tabela_dados_base[[#This Row],[Total de Clicks]],"")</f>
        <v>1</v>
      </c>
      <c r="P258" s="6">
        <f>Tabela_dados_base[[#This Row],[Total de Clicks]]/Tabela_dados_base[[#This Row],[Visualizações]]</f>
        <v>0.51574803149606296</v>
      </c>
      <c r="Q258" s="5">
        <f>Tabela_dados_base[[#This Row],[Vezes pesquisados]]/Tabela_dados_base[[#This Row],[Visualizações]]</f>
        <v>9.055118110236221E-2</v>
      </c>
      <c r="R258" s="5">
        <f>Tabela_dados_base[[#This Row],[Visitas Diretas]]/Tabela_dados_base[[#This Row],[Visualizações]]</f>
        <v>0.19685039370078741</v>
      </c>
    </row>
    <row r="259" spans="1:18" x14ac:dyDescent="0.2">
      <c r="A259" t="s">
        <v>15</v>
      </c>
      <c r="B259" t="s">
        <v>16</v>
      </c>
      <c r="C259" t="s">
        <v>17</v>
      </c>
      <c r="D259">
        <v>1047</v>
      </c>
      <c r="E259" s="1">
        <v>44465</v>
      </c>
      <c r="F259" s="2">
        <v>0</v>
      </c>
      <c r="G259" s="2">
        <v>0</v>
      </c>
      <c r="H259" s="2">
        <v>0</v>
      </c>
      <c r="I259" s="2">
        <v>320</v>
      </c>
      <c r="J259" s="2">
        <v>0</v>
      </c>
      <c r="K259" s="2">
        <v>0</v>
      </c>
      <c r="L259" s="2">
        <v>97</v>
      </c>
      <c r="M259" s="2">
        <f>Tabela_dados_base[[#This Row],[Clicks pagos]]+Tabela_dados_base[[#This Row],[Clicks redes sociais]]</f>
        <v>0</v>
      </c>
      <c r="N259" s="5" t="str">
        <f>IFERROR(Tabela_dados_base[[#This Row],[Clicks pagos]]/Tabela_dados_base[[#This Row],[Total de Clicks]],"")</f>
        <v/>
      </c>
      <c r="O259" s="5" t="str">
        <f>IFERROR(Tabela_dados_base[[#This Row],[Clicks redes sociais]]/Tabela_dados_base[[#This Row],[Total de Clicks]],"")</f>
        <v/>
      </c>
      <c r="P259" s="6">
        <f>Tabela_dados_base[[#This Row],[Total de Clicks]]/Tabela_dados_base[[#This Row],[Visualizações]]</f>
        <v>0</v>
      </c>
      <c r="Q259" s="5">
        <f>Tabela_dados_base[[#This Row],[Vezes pesquisados]]/Tabela_dados_base[[#This Row],[Visualizações]]</f>
        <v>0</v>
      </c>
      <c r="R259" s="5">
        <f>Tabela_dados_base[[#This Row],[Visitas Diretas]]/Tabela_dados_base[[#This Row],[Visualizações]]</f>
        <v>0</v>
      </c>
    </row>
    <row r="260" spans="1:18" x14ac:dyDescent="0.2">
      <c r="A260" t="s">
        <v>15</v>
      </c>
      <c r="B260" t="s">
        <v>16</v>
      </c>
      <c r="C260" t="s">
        <v>17</v>
      </c>
      <c r="D260">
        <v>1047</v>
      </c>
      <c r="E260" s="1">
        <v>44475</v>
      </c>
      <c r="F260" s="2">
        <v>28</v>
      </c>
      <c r="G260" s="2">
        <v>45</v>
      </c>
      <c r="H260" s="2">
        <v>0</v>
      </c>
      <c r="I260" s="2">
        <v>685</v>
      </c>
      <c r="J260" s="2">
        <v>74</v>
      </c>
      <c r="K260" s="2">
        <v>13</v>
      </c>
      <c r="L260" s="2">
        <v>183</v>
      </c>
      <c r="M260" s="2">
        <f>Tabela_dados_base[[#This Row],[Clicks pagos]]+Tabela_dados_base[[#This Row],[Clicks redes sociais]]</f>
        <v>74</v>
      </c>
      <c r="N260" s="5">
        <f>IFERROR(Tabela_dados_base[[#This Row],[Clicks pagos]]/Tabela_dados_base[[#This Row],[Total de Clicks]],"")</f>
        <v>0</v>
      </c>
      <c r="O260" s="5">
        <f>IFERROR(Tabela_dados_base[[#This Row],[Clicks redes sociais]]/Tabela_dados_base[[#This Row],[Total de Clicks]],"")</f>
        <v>1</v>
      </c>
      <c r="P260" s="6">
        <f>Tabela_dados_base[[#This Row],[Total de Clicks]]/Tabela_dados_base[[#This Row],[Visualizações]]</f>
        <v>0.40437158469945356</v>
      </c>
      <c r="Q260" s="5">
        <f>Tabela_dados_base[[#This Row],[Vezes pesquisados]]/Tabela_dados_base[[#This Row],[Visualizações]]</f>
        <v>7.1038251366120214E-2</v>
      </c>
      <c r="R260" s="5">
        <f>Tabela_dados_base[[#This Row],[Visitas Diretas]]/Tabela_dados_base[[#This Row],[Visualizações]]</f>
        <v>0.15300546448087432</v>
      </c>
    </row>
    <row r="261" spans="1:18" x14ac:dyDescent="0.2">
      <c r="A261" t="s">
        <v>15</v>
      </c>
      <c r="B261" t="s">
        <v>16</v>
      </c>
      <c r="C261" t="s">
        <v>17</v>
      </c>
      <c r="D261">
        <v>1047</v>
      </c>
      <c r="E261" s="1">
        <v>44479</v>
      </c>
      <c r="F261" s="2">
        <v>27</v>
      </c>
      <c r="G261" s="2">
        <v>44</v>
      </c>
      <c r="H261" s="2">
        <v>0</v>
      </c>
      <c r="I261" s="2">
        <v>519</v>
      </c>
      <c r="J261" s="2">
        <v>71</v>
      </c>
      <c r="K261" s="2">
        <v>12</v>
      </c>
      <c r="L261" s="2">
        <v>163</v>
      </c>
      <c r="M261" s="2">
        <f>Tabela_dados_base[[#This Row],[Clicks pagos]]+Tabela_dados_base[[#This Row],[Clicks redes sociais]]</f>
        <v>71</v>
      </c>
      <c r="N261" s="5">
        <f>IFERROR(Tabela_dados_base[[#This Row],[Clicks pagos]]/Tabela_dados_base[[#This Row],[Total de Clicks]],"")</f>
        <v>0</v>
      </c>
      <c r="O261" s="5">
        <f>IFERROR(Tabela_dados_base[[#This Row],[Clicks redes sociais]]/Tabela_dados_base[[#This Row],[Total de Clicks]],"")</f>
        <v>1</v>
      </c>
      <c r="P261" s="6">
        <f>Tabela_dados_base[[#This Row],[Total de Clicks]]/Tabela_dados_base[[#This Row],[Visualizações]]</f>
        <v>0.43558282208588955</v>
      </c>
      <c r="Q261" s="5">
        <f>Tabela_dados_base[[#This Row],[Vezes pesquisados]]/Tabela_dados_base[[#This Row],[Visualizações]]</f>
        <v>7.3619631901840496E-2</v>
      </c>
      <c r="R261" s="5">
        <f>Tabela_dados_base[[#This Row],[Visitas Diretas]]/Tabela_dados_base[[#This Row],[Visualizações]]</f>
        <v>0.16564417177914109</v>
      </c>
    </row>
    <row r="262" spans="1:18" x14ac:dyDescent="0.2">
      <c r="A262" t="s">
        <v>15</v>
      </c>
      <c r="B262" t="s">
        <v>16</v>
      </c>
      <c r="C262" t="s">
        <v>17</v>
      </c>
      <c r="D262">
        <v>1047</v>
      </c>
      <c r="E262" s="1">
        <v>44483</v>
      </c>
      <c r="F262" s="2">
        <v>13</v>
      </c>
      <c r="G262" s="2">
        <v>20</v>
      </c>
      <c r="H262" s="2">
        <v>0</v>
      </c>
      <c r="I262" s="2">
        <v>362</v>
      </c>
      <c r="J262" s="2">
        <v>33</v>
      </c>
      <c r="K262" s="2">
        <v>6</v>
      </c>
      <c r="L262" s="2">
        <v>148</v>
      </c>
      <c r="M262" s="2">
        <f>Tabela_dados_base[[#This Row],[Clicks pagos]]+Tabela_dados_base[[#This Row],[Clicks redes sociais]]</f>
        <v>33</v>
      </c>
      <c r="N262" s="5">
        <f>IFERROR(Tabela_dados_base[[#This Row],[Clicks pagos]]/Tabela_dados_base[[#This Row],[Total de Clicks]],"")</f>
        <v>0</v>
      </c>
      <c r="O262" s="5">
        <f>IFERROR(Tabela_dados_base[[#This Row],[Clicks redes sociais]]/Tabela_dados_base[[#This Row],[Total de Clicks]],"")</f>
        <v>1</v>
      </c>
      <c r="P262" s="6">
        <f>Tabela_dados_base[[#This Row],[Total de Clicks]]/Tabela_dados_base[[#This Row],[Visualizações]]</f>
        <v>0.22297297297297297</v>
      </c>
      <c r="Q262" s="5">
        <f>Tabela_dados_base[[#This Row],[Vezes pesquisados]]/Tabela_dados_base[[#This Row],[Visualizações]]</f>
        <v>4.0540540540540543E-2</v>
      </c>
      <c r="R262" s="5">
        <f>Tabela_dados_base[[#This Row],[Visitas Diretas]]/Tabela_dados_base[[#This Row],[Visualizações]]</f>
        <v>8.7837837837837843E-2</v>
      </c>
    </row>
    <row r="263" spans="1:18" x14ac:dyDescent="0.2">
      <c r="A263" t="s">
        <v>15</v>
      </c>
      <c r="B263" t="s">
        <v>16</v>
      </c>
      <c r="C263" t="s">
        <v>17</v>
      </c>
      <c r="D263">
        <v>1047</v>
      </c>
      <c r="E263" s="1">
        <v>44484</v>
      </c>
      <c r="F263" s="2">
        <v>0</v>
      </c>
      <c r="G263" s="2">
        <v>0</v>
      </c>
      <c r="H263" s="2">
        <v>0</v>
      </c>
      <c r="I263" s="2">
        <v>75</v>
      </c>
      <c r="J263" s="2">
        <v>0</v>
      </c>
      <c r="K263" s="2">
        <v>0</v>
      </c>
      <c r="L263" s="2">
        <v>38</v>
      </c>
      <c r="M263" s="2">
        <f>Tabela_dados_base[[#This Row],[Clicks pagos]]+Tabela_dados_base[[#This Row],[Clicks redes sociais]]</f>
        <v>0</v>
      </c>
      <c r="N263" s="5" t="str">
        <f>IFERROR(Tabela_dados_base[[#This Row],[Clicks pagos]]/Tabela_dados_base[[#This Row],[Total de Clicks]],"")</f>
        <v/>
      </c>
      <c r="O263" s="5" t="str">
        <f>IFERROR(Tabela_dados_base[[#This Row],[Clicks redes sociais]]/Tabela_dados_base[[#This Row],[Total de Clicks]],"")</f>
        <v/>
      </c>
      <c r="P263" s="6">
        <f>Tabela_dados_base[[#This Row],[Total de Clicks]]/Tabela_dados_base[[#This Row],[Visualizações]]</f>
        <v>0</v>
      </c>
      <c r="Q263" s="5">
        <f>Tabela_dados_base[[#This Row],[Vezes pesquisados]]/Tabela_dados_base[[#This Row],[Visualizações]]</f>
        <v>0</v>
      </c>
      <c r="R263" s="5">
        <f>Tabela_dados_base[[#This Row],[Visitas Diretas]]/Tabela_dados_base[[#This Row],[Visualizações]]</f>
        <v>0</v>
      </c>
    </row>
    <row r="264" spans="1:18" x14ac:dyDescent="0.2">
      <c r="A264" t="s">
        <v>15</v>
      </c>
      <c r="B264" t="s">
        <v>16</v>
      </c>
      <c r="C264" t="s">
        <v>17</v>
      </c>
      <c r="D264">
        <v>1047</v>
      </c>
      <c r="E264" s="1">
        <v>44488</v>
      </c>
      <c r="F264" s="2">
        <v>19</v>
      </c>
      <c r="G264" s="2">
        <v>30</v>
      </c>
      <c r="H264" s="2">
        <v>0</v>
      </c>
      <c r="I264" s="2">
        <v>138</v>
      </c>
      <c r="J264" s="2">
        <v>49</v>
      </c>
      <c r="K264" s="2">
        <v>8</v>
      </c>
      <c r="L264" s="2">
        <v>131</v>
      </c>
      <c r="M264" s="2">
        <f>Tabela_dados_base[[#This Row],[Clicks pagos]]+Tabela_dados_base[[#This Row],[Clicks redes sociais]]</f>
        <v>49</v>
      </c>
      <c r="N264" s="5">
        <f>IFERROR(Tabela_dados_base[[#This Row],[Clicks pagos]]/Tabela_dados_base[[#This Row],[Total de Clicks]],"")</f>
        <v>0</v>
      </c>
      <c r="O264" s="5">
        <f>IFERROR(Tabela_dados_base[[#This Row],[Clicks redes sociais]]/Tabela_dados_base[[#This Row],[Total de Clicks]],"")</f>
        <v>1</v>
      </c>
      <c r="P264" s="6">
        <f>Tabela_dados_base[[#This Row],[Total de Clicks]]/Tabela_dados_base[[#This Row],[Visualizações]]</f>
        <v>0.37404580152671757</v>
      </c>
      <c r="Q264" s="5">
        <f>Tabela_dados_base[[#This Row],[Vezes pesquisados]]/Tabela_dados_base[[#This Row],[Visualizações]]</f>
        <v>6.1068702290076333E-2</v>
      </c>
      <c r="R264" s="5">
        <f>Tabela_dados_base[[#This Row],[Visitas Diretas]]/Tabela_dados_base[[#This Row],[Visualizações]]</f>
        <v>0.14503816793893129</v>
      </c>
    </row>
    <row r="265" spans="1:18" x14ac:dyDescent="0.2">
      <c r="A265" t="s">
        <v>15</v>
      </c>
      <c r="B265" t="s">
        <v>16</v>
      </c>
      <c r="C265" t="s">
        <v>17</v>
      </c>
      <c r="D265">
        <v>1047</v>
      </c>
      <c r="E265" s="1">
        <v>44489</v>
      </c>
      <c r="F265" s="2">
        <v>70</v>
      </c>
      <c r="G265" s="2">
        <v>113</v>
      </c>
      <c r="H265" s="2">
        <v>0</v>
      </c>
      <c r="I265" s="2">
        <v>1311</v>
      </c>
      <c r="J265" s="2">
        <v>183</v>
      </c>
      <c r="K265" s="2">
        <v>32</v>
      </c>
      <c r="L265" s="2">
        <v>392</v>
      </c>
      <c r="M265" s="2">
        <f>Tabela_dados_base[[#This Row],[Clicks pagos]]+Tabela_dados_base[[#This Row],[Clicks redes sociais]]</f>
        <v>183</v>
      </c>
      <c r="N265" s="5">
        <f>IFERROR(Tabela_dados_base[[#This Row],[Clicks pagos]]/Tabela_dados_base[[#This Row],[Total de Clicks]],"")</f>
        <v>0</v>
      </c>
      <c r="O265" s="5">
        <f>IFERROR(Tabela_dados_base[[#This Row],[Clicks redes sociais]]/Tabela_dados_base[[#This Row],[Total de Clicks]],"")</f>
        <v>1</v>
      </c>
      <c r="P265" s="6">
        <f>Tabela_dados_base[[#This Row],[Total de Clicks]]/Tabela_dados_base[[#This Row],[Visualizações]]</f>
        <v>0.46683673469387754</v>
      </c>
      <c r="Q265" s="5">
        <f>Tabela_dados_base[[#This Row],[Vezes pesquisados]]/Tabela_dados_base[[#This Row],[Visualizações]]</f>
        <v>8.1632653061224483E-2</v>
      </c>
      <c r="R265" s="5">
        <f>Tabela_dados_base[[#This Row],[Visitas Diretas]]/Tabela_dados_base[[#This Row],[Visualizações]]</f>
        <v>0.17857142857142858</v>
      </c>
    </row>
    <row r="266" spans="1:18" x14ac:dyDescent="0.2">
      <c r="A266" t="s">
        <v>15</v>
      </c>
      <c r="B266" t="s">
        <v>16</v>
      </c>
      <c r="C266" t="s">
        <v>17</v>
      </c>
      <c r="D266">
        <v>1047</v>
      </c>
      <c r="E266" s="1">
        <v>44496</v>
      </c>
      <c r="F266" s="2">
        <v>76</v>
      </c>
      <c r="G266" s="2">
        <v>122</v>
      </c>
      <c r="H266" s="2">
        <v>0</v>
      </c>
      <c r="I266" s="2">
        <v>1065</v>
      </c>
      <c r="J266" s="2">
        <v>198</v>
      </c>
      <c r="K266" s="2">
        <v>34</v>
      </c>
      <c r="L266" s="2">
        <v>395</v>
      </c>
      <c r="M266" s="2">
        <f>Tabela_dados_base[[#This Row],[Clicks pagos]]+Tabela_dados_base[[#This Row],[Clicks redes sociais]]</f>
        <v>198</v>
      </c>
      <c r="N266" s="5">
        <f>IFERROR(Tabela_dados_base[[#This Row],[Clicks pagos]]/Tabela_dados_base[[#This Row],[Total de Clicks]],"")</f>
        <v>0</v>
      </c>
      <c r="O266" s="5">
        <f>IFERROR(Tabela_dados_base[[#This Row],[Clicks redes sociais]]/Tabela_dados_base[[#This Row],[Total de Clicks]],"")</f>
        <v>1</v>
      </c>
      <c r="P266" s="6">
        <f>Tabela_dados_base[[#This Row],[Total de Clicks]]/Tabela_dados_base[[#This Row],[Visualizações]]</f>
        <v>0.50126582278481013</v>
      </c>
      <c r="Q266" s="5">
        <f>Tabela_dados_base[[#This Row],[Vezes pesquisados]]/Tabela_dados_base[[#This Row],[Visualizações]]</f>
        <v>8.6075949367088608E-2</v>
      </c>
      <c r="R266" s="5">
        <f>Tabela_dados_base[[#This Row],[Visitas Diretas]]/Tabela_dados_base[[#This Row],[Visualizações]]</f>
        <v>0.19240506329113924</v>
      </c>
    </row>
    <row r="267" spans="1:18" x14ac:dyDescent="0.2">
      <c r="A267" t="s">
        <v>15</v>
      </c>
      <c r="B267" t="s">
        <v>16</v>
      </c>
      <c r="C267" t="s">
        <v>17</v>
      </c>
      <c r="D267">
        <v>1047</v>
      </c>
      <c r="E267" s="1">
        <v>44502</v>
      </c>
      <c r="F267" s="2">
        <v>15</v>
      </c>
      <c r="G267" s="2">
        <v>24</v>
      </c>
      <c r="H267" s="2">
        <v>0</v>
      </c>
      <c r="I267" s="2">
        <v>518</v>
      </c>
      <c r="J267" s="2">
        <v>39</v>
      </c>
      <c r="K267" s="2">
        <v>7</v>
      </c>
      <c r="L267" s="2">
        <v>135</v>
      </c>
      <c r="M267" s="2">
        <f>Tabela_dados_base[[#This Row],[Clicks pagos]]+Tabela_dados_base[[#This Row],[Clicks redes sociais]]</f>
        <v>39</v>
      </c>
      <c r="N267" s="5">
        <f>IFERROR(Tabela_dados_base[[#This Row],[Clicks pagos]]/Tabela_dados_base[[#This Row],[Total de Clicks]],"")</f>
        <v>0</v>
      </c>
      <c r="O267" s="5">
        <f>IFERROR(Tabela_dados_base[[#This Row],[Clicks redes sociais]]/Tabela_dados_base[[#This Row],[Total de Clicks]],"")</f>
        <v>1</v>
      </c>
      <c r="P267" s="6">
        <f>Tabela_dados_base[[#This Row],[Total de Clicks]]/Tabela_dados_base[[#This Row],[Visualizações]]</f>
        <v>0.28888888888888886</v>
      </c>
      <c r="Q267" s="5">
        <f>Tabela_dados_base[[#This Row],[Vezes pesquisados]]/Tabela_dados_base[[#This Row],[Visualizações]]</f>
        <v>5.185185185185185E-2</v>
      </c>
      <c r="R267" s="5">
        <f>Tabela_dados_base[[#This Row],[Visitas Diretas]]/Tabela_dados_base[[#This Row],[Visualizações]]</f>
        <v>0.1111111111111111</v>
      </c>
    </row>
    <row r="268" spans="1:18" x14ac:dyDescent="0.2">
      <c r="A268" t="s">
        <v>15</v>
      </c>
      <c r="B268" t="s">
        <v>16</v>
      </c>
      <c r="C268" t="s">
        <v>17</v>
      </c>
      <c r="D268">
        <v>1047</v>
      </c>
      <c r="E268" s="1">
        <v>44504</v>
      </c>
      <c r="F268" s="2">
        <v>54</v>
      </c>
      <c r="G268" s="2">
        <v>86</v>
      </c>
      <c r="H268" s="2">
        <v>0</v>
      </c>
      <c r="I268" s="2">
        <v>658</v>
      </c>
      <c r="J268" s="2">
        <v>140</v>
      </c>
      <c r="K268" s="2">
        <v>24</v>
      </c>
      <c r="L268" s="2">
        <v>285</v>
      </c>
      <c r="M268" s="2">
        <f>Tabela_dados_base[[#This Row],[Clicks pagos]]+Tabela_dados_base[[#This Row],[Clicks redes sociais]]</f>
        <v>140</v>
      </c>
      <c r="N268" s="5">
        <f>IFERROR(Tabela_dados_base[[#This Row],[Clicks pagos]]/Tabela_dados_base[[#This Row],[Total de Clicks]],"")</f>
        <v>0</v>
      </c>
      <c r="O268" s="5">
        <f>IFERROR(Tabela_dados_base[[#This Row],[Clicks redes sociais]]/Tabela_dados_base[[#This Row],[Total de Clicks]],"")</f>
        <v>1</v>
      </c>
      <c r="P268" s="6">
        <f>Tabela_dados_base[[#This Row],[Total de Clicks]]/Tabela_dados_base[[#This Row],[Visualizações]]</f>
        <v>0.49122807017543857</v>
      </c>
      <c r="Q268" s="5">
        <f>Tabela_dados_base[[#This Row],[Vezes pesquisados]]/Tabela_dados_base[[#This Row],[Visualizações]]</f>
        <v>8.4210526315789472E-2</v>
      </c>
      <c r="R268" s="5">
        <f>Tabela_dados_base[[#This Row],[Visitas Diretas]]/Tabela_dados_base[[#This Row],[Visualizações]]</f>
        <v>0.18947368421052632</v>
      </c>
    </row>
    <row r="269" spans="1:18" x14ac:dyDescent="0.2">
      <c r="A269" t="s">
        <v>15</v>
      </c>
      <c r="B269" t="s">
        <v>16</v>
      </c>
      <c r="C269" t="s">
        <v>17</v>
      </c>
      <c r="D269">
        <v>1047</v>
      </c>
      <c r="E269" s="1">
        <v>44507</v>
      </c>
      <c r="F269" s="2">
        <v>32</v>
      </c>
      <c r="G269" s="2">
        <v>52</v>
      </c>
      <c r="H269" s="2">
        <v>0</v>
      </c>
      <c r="I269" s="2">
        <v>370</v>
      </c>
      <c r="J269" s="2">
        <v>84</v>
      </c>
      <c r="K269" s="2">
        <v>15</v>
      </c>
      <c r="L269" s="2">
        <v>198</v>
      </c>
      <c r="M269" s="2">
        <f>Tabela_dados_base[[#This Row],[Clicks pagos]]+Tabela_dados_base[[#This Row],[Clicks redes sociais]]</f>
        <v>84</v>
      </c>
      <c r="N269" s="5">
        <f>IFERROR(Tabela_dados_base[[#This Row],[Clicks pagos]]/Tabela_dados_base[[#This Row],[Total de Clicks]],"")</f>
        <v>0</v>
      </c>
      <c r="O269" s="5">
        <f>IFERROR(Tabela_dados_base[[#This Row],[Clicks redes sociais]]/Tabela_dados_base[[#This Row],[Total de Clicks]],"")</f>
        <v>1</v>
      </c>
      <c r="P269" s="6">
        <f>Tabela_dados_base[[#This Row],[Total de Clicks]]/Tabela_dados_base[[#This Row],[Visualizações]]</f>
        <v>0.42424242424242425</v>
      </c>
      <c r="Q269" s="5">
        <f>Tabela_dados_base[[#This Row],[Vezes pesquisados]]/Tabela_dados_base[[#This Row],[Visualizações]]</f>
        <v>7.575757575757576E-2</v>
      </c>
      <c r="R269" s="5">
        <f>Tabela_dados_base[[#This Row],[Visitas Diretas]]/Tabela_dados_base[[#This Row],[Visualizações]]</f>
        <v>0.16161616161616163</v>
      </c>
    </row>
    <row r="270" spans="1:18" x14ac:dyDescent="0.2">
      <c r="A270" t="s">
        <v>15</v>
      </c>
      <c r="B270" t="s">
        <v>16</v>
      </c>
      <c r="C270" t="s">
        <v>17</v>
      </c>
      <c r="D270">
        <v>1047</v>
      </c>
      <c r="E270" s="1">
        <v>44512</v>
      </c>
      <c r="F270" s="2">
        <v>5</v>
      </c>
      <c r="G270" s="2">
        <v>8</v>
      </c>
      <c r="H270" s="2">
        <v>0</v>
      </c>
      <c r="I270" s="2">
        <v>84</v>
      </c>
      <c r="J270" s="2">
        <v>12</v>
      </c>
      <c r="K270" s="2">
        <v>2</v>
      </c>
      <c r="L270" s="2">
        <v>27</v>
      </c>
      <c r="M270" s="2">
        <f>Tabela_dados_base[[#This Row],[Clicks pagos]]+Tabela_dados_base[[#This Row],[Clicks redes sociais]]</f>
        <v>12</v>
      </c>
      <c r="N270" s="5">
        <f>IFERROR(Tabela_dados_base[[#This Row],[Clicks pagos]]/Tabela_dados_base[[#This Row],[Total de Clicks]],"")</f>
        <v>0</v>
      </c>
      <c r="O270" s="5">
        <f>IFERROR(Tabela_dados_base[[#This Row],[Clicks redes sociais]]/Tabela_dados_base[[#This Row],[Total de Clicks]],"")</f>
        <v>1</v>
      </c>
      <c r="P270" s="6">
        <f>Tabela_dados_base[[#This Row],[Total de Clicks]]/Tabela_dados_base[[#This Row],[Visualizações]]</f>
        <v>0.44444444444444442</v>
      </c>
      <c r="Q270" s="5">
        <f>Tabela_dados_base[[#This Row],[Vezes pesquisados]]/Tabela_dados_base[[#This Row],[Visualizações]]</f>
        <v>7.407407407407407E-2</v>
      </c>
      <c r="R270" s="5">
        <f>Tabela_dados_base[[#This Row],[Visitas Diretas]]/Tabela_dados_base[[#This Row],[Visualizações]]</f>
        <v>0.18518518518518517</v>
      </c>
    </row>
    <row r="271" spans="1:18" x14ac:dyDescent="0.2">
      <c r="A271" t="s">
        <v>15</v>
      </c>
      <c r="B271" t="s">
        <v>16</v>
      </c>
      <c r="C271" t="s">
        <v>17</v>
      </c>
      <c r="D271">
        <v>1047</v>
      </c>
      <c r="E271" s="1">
        <v>44515</v>
      </c>
      <c r="F271" s="2">
        <v>20</v>
      </c>
      <c r="G271" s="2">
        <v>32</v>
      </c>
      <c r="H271" s="2">
        <v>0</v>
      </c>
      <c r="I271" s="2">
        <v>349</v>
      </c>
      <c r="J271" s="2">
        <v>51</v>
      </c>
      <c r="K271" s="2">
        <v>9</v>
      </c>
      <c r="L271" s="2">
        <v>136</v>
      </c>
      <c r="M271" s="2">
        <f>Tabela_dados_base[[#This Row],[Clicks pagos]]+Tabela_dados_base[[#This Row],[Clicks redes sociais]]</f>
        <v>51</v>
      </c>
      <c r="N271" s="5">
        <f>IFERROR(Tabela_dados_base[[#This Row],[Clicks pagos]]/Tabela_dados_base[[#This Row],[Total de Clicks]],"")</f>
        <v>0</v>
      </c>
      <c r="O271" s="5">
        <f>IFERROR(Tabela_dados_base[[#This Row],[Clicks redes sociais]]/Tabela_dados_base[[#This Row],[Total de Clicks]],"")</f>
        <v>1</v>
      </c>
      <c r="P271" s="6">
        <f>Tabela_dados_base[[#This Row],[Total de Clicks]]/Tabela_dados_base[[#This Row],[Visualizações]]</f>
        <v>0.375</v>
      </c>
      <c r="Q271" s="5">
        <f>Tabela_dados_base[[#This Row],[Vezes pesquisados]]/Tabela_dados_base[[#This Row],[Visualizações]]</f>
        <v>6.6176470588235295E-2</v>
      </c>
      <c r="R271" s="5">
        <f>Tabela_dados_base[[#This Row],[Visitas Diretas]]/Tabela_dados_base[[#This Row],[Visualizações]]</f>
        <v>0.14705882352941177</v>
      </c>
    </row>
    <row r="272" spans="1:18" x14ac:dyDescent="0.2">
      <c r="A272" t="s">
        <v>15</v>
      </c>
      <c r="B272" t="s">
        <v>16</v>
      </c>
      <c r="C272" t="s">
        <v>17</v>
      </c>
      <c r="D272">
        <v>1047</v>
      </c>
      <c r="E272" s="1">
        <v>44517</v>
      </c>
      <c r="F272" s="2">
        <v>17</v>
      </c>
      <c r="G272" s="2">
        <v>27</v>
      </c>
      <c r="H272" s="2">
        <v>0</v>
      </c>
      <c r="I272" s="2">
        <v>428</v>
      </c>
      <c r="J272" s="2">
        <v>43</v>
      </c>
      <c r="K272" s="2">
        <v>7</v>
      </c>
      <c r="L272" s="2">
        <v>168</v>
      </c>
      <c r="M272" s="2">
        <f>Tabela_dados_base[[#This Row],[Clicks pagos]]+Tabela_dados_base[[#This Row],[Clicks redes sociais]]</f>
        <v>43</v>
      </c>
      <c r="N272" s="5">
        <f>IFERROR(Tabela_dados_base[[#This Row],[Clicks pagos]]/Tabela_dados_base[[#This Row],[Total de Clicks]],"")</f>
        <v>0</v>
      </c>
      <c r="O272" s="5">
        <f>IFERROR(Tabela_dados_base[[#This Row],[Clicks redes sociais]]/Tabela_dados_base[[#This Row],[Total de Clicks]],"")</f>
        <v>1</v>
      </c>
      <c r="P272" s="6">
        <f>Tabela_dados_base[[#This Row],[Total de Clicks]]/Tabela_dados_base[[#This Row],[Visualizações]]</f>
        <v>0.25595238095238093</v>
      </c>
      <c r="Q272" s="5">
        <f>Tabela_dados_base[[#This Row],[Vezes pesquisados]]/Tabela_dados_base[[#This Row],[Visualizações]]</f>
        <v>4.1666666666666664E-2</v>
      </c>
      <c r="R272" s="5">
        <f>Tabela_dados_base[[#This Row],[Visitas Diretas]]/Tabela_dados_base[[#This Row],[Visualizações]]</f>
        <v>0.10119047619047619</v>
      </c>
    </row>
    <row r="273" spans="1:18" x14ac:dyDescent="0.2">
      <c r="A273" t="s">
        <v>15</v>
      </c>
      <c r="B273" t="s">
        <v>16</v>
      </c>
      <c r="C273" t="s">
        <v>17</v>
      </c>
      <c r="D273">
        <v>1047</v>
      </c>
      <c r="E273" s="1">
        <v>44530</v>
      </c>
      <c r="F273" s="2">
        <v>49</v>
      </c>
      <c r="G273" s="2">
        <v>78</v>
      </c>
      <c r="H273" s="2">
        <v>0</v>
      </c>
      <c r="I273" s="2">
        <v>564</v>
      </c>
      <c r="J273" s="2">
        <v>126</v>
      </c>
      <c r="K273" s="2">
        <v>22</v>
      </c>
      <c r="L273" s="2">
        <v>251</v>
      </c>
      <c r="M273" s="2">
        <f>Tabela_dados_base[[#This Row],[Clicks pagos]]+Tabela_dados_base[[#This Row],[Clicks redes sociais]]</f>
        <v>126</v>
      </c>
      <c r="N273" s="5">
        <f>IFERROR(Tabela_dados_base[[#This Row],[Clicks pagos]]/Tabela_dados_base[[#This Row],[Total de Clicks]],"")</f>
        <v>0</v>
      </c>
      <c r="O273" s="5">
        <f>IFERROR(Tabela_dados_base[[#This Row],[Clicks redes sociais]]/Tabela_dados_base[[#This Row],[Total de Clicks]],"")</f>
        <v>1</v>
      </c>
      <c r="P273" s="6">
        <f>Tabela_dados_base[[#This Row],[Total de Clicks]]/Tabela_dados_base[[#This Row],[Visualizações]]</f>
        <v>0.50199203187250996</v>
      </c>
      <c r="Q273" s="5">
        <f>Tabela_dados_base[[#This Row],[Vezes pesquisados]]/Tabela_dados_base[[#This Row],[Visualizações]]</f>
        <v>8.7649402390438252E-2</v>
      </c>
      <c r="R273" s="5">
        <f>Tabela_dados_base[[#This Row],[Visitas Diretas]]/Tabela_dados_base[[#This Row],[Visualizações]]</f>
        <v>0.19521912350597609</v>
      </c>
    </row>
    <row r="274" spans="1:18" x14ac:dyDescent="0.2">
      <c r="A274" t="s">
        <v>18</v>
      </c>
      <c r="B274" t="s">
        <v>19</v>
      </c>
      <c r="C274" t="s">
        <v>20</v>
      </c>
      <c r="D274">
        <v>1047</v>
      </c>
      <c r="E274" s="1">
        <v>44404</v>
      </c>
      <c r="F274" s="2">
        <v>37</v>
      </c>
      <c r="G274" s="2">
        <v>59</v>
      </c>
      <c r="H274" s="2">
        <v>0</v>
      </c>
      <c r="I274" s="2">
        <v>725</v>
      </c>
      <c r="J274" s="2">
        <v>95</v>
      </c>
      <c r="K274" s="2">
        <v>16</v>
      </c>
      <c r="L274" s="2">
        <v>275</v>
      </c>
      <c r="M274" s="2">
        <f>Tabela_dados_base[[#This Row],[Clicks pagos]]+Tabela_dados_base[[#This Row],[Clicks redes sociais]]</f>
        <v>95</v>
      </c>
      <c r="N274" s="5">
        <f>IFERROR(Tabela_dados_base[[#This Row],[Clicks pagos]]/Tabela_dados_base[[#This Row],[Total de Clicks]],"")</f>
        <v>0</v>
      </c>
      <c r="O274" s="5">
        <f>IFERROR(Tabela_dados_base[[#This Row],[Clicks redes sociais]]/Tabela_dados_base[[#This Row],[Total de Clicks]],"")</f>
        <v>1</v>
      </c>
      <c r="P274" s="6">
        <f>Tabela_dados_base[[#This Row],[Total de Clicks]]/Tabela_dados_base[[#This Row],[Visualizações]]</f>
        <v>0.34545454545454546</v>
      </c>
      <c r="Q274" s="5">
        <f>Tabela_dados_base[[#This Row],[Vezes pesquisados]]/Tabela_dados_base[[#This Row],[Visualizações]]</f>
        <v>5.8181818181818182E-2</v>
      </c>
      <c r="R274" s="5">
        <f>Tabela_dados_base[[#This Row],[Visitas Diretas]]/Tabela_dados_base[[#This Row],[Visualizações]]</f>
        <v>0.13454545454545455</v>
      </c>
    </row>
    <row r="275" spans="1:18" x14ac:dyDescent="0.2">
      <c r="A275" t="s">
        <v>18</v>
      </c>
      <c r="B275" t="s">
        <v>19</v>
      </c>
      <c r="C275" t="s">
        <v>20</v>
      </c>
      <c r="D275">
        <v>1047</v>
      </c>
      <c r="E275" s="1">
        <v>44405</v>
      </c>
      <c r="F275" s="2">
        <v>149</v>
      </c>
      <c r="G275" s="2">
        <v>238</v>
      </c>
      <c r="H275" s="2">
        <v>0</v>
      </c>
      <c r="I275" s="2">
        <v>2809</v>
      </c>
      <c r="J275" s="2">
        <v>387</v>
      </c>
      <c r="K275" s="2">
        <v>67</v>
      </c>
      <c r="L275" s="2">
        <v>791</v>
      </c>
      <c r="M275" s="2">
        <f>Tabela_dados_base[[#This Row],[Clicks pagos]]+Tabela_dados_base[[#This Row],[Clicks redes sociais]]</f>
        <v>387</v>
      </c>
      <c r="N275" s="5">
        <f>IFERROR(Tabela_dados_base[[#This Row],[Clicks pagos]]/Tabela_dados_base[[#This Row],[Total de Clicks]],"")</f>
        <v>0</v>
      </c>
      <c r="O275" s="5">
        <f>IFERROR(Tabela_dados_base[[#This Row],[Clicks redes sociais]]/Tabela_dados_base[[#This Row],[Total de Clicks]],"")</f>
        <v>1</v>
      </c>
      <c r="P275" s="6">
        <f>Tabela_dados_base[[#This Row],[Total de Clicks]]/Tabela_dados_base[[#This Row],[Visualizações]]</f>
        <v>0.48925410872313529</v>
      </c>
      <c r="Q275" s="5">
        <f>Tabela_dados_base[[#This Row],[Vezes pesquisados]]/Tabela_dados_base[[#This Row],[Visualizações]]</f>
        <v>8.4702907711757272E-2</v>
      </c>
      <c r="R275" s="5">
        <f>Tabela_dados_base[[#This Row],[Visitas Diretas]]/Tabela_dados_base[[#This Row],[Visualizações]]</f>
        <v>0.18836915297092288</v>
      </c>
    </row>
    <row r="276" spans="1:18" x14ac:dyDescent="0.2">
      <c r="A276" t="s">
        <v>18</v>
      </c>
      <c r="B276" t="s">
        <v>19</v>
      </c>
      <c r="C276" t="s">
        <v>20</v>
      </c>
      <c r="D276">
        <v>1047</v>
      </c>
      <c r="E276" s="1">
        <v>44406</v>
      </c>
      <c r="F276" s="2">
        <v>876</v>
      </c>
      <c r="G276" s="2">
        <v>1402</v>
      </c>
      <c r="H276" s="2">
        <v>0</v>
      </c>
      <c r="I276" s="2">
        <v>14084</v>
      </c>
      <c r="J276" s="2">
        <v>2278</v>
      </c>
      <c r="K276" s="2">
        <v>394</v>
      </c>
      <c r="L276" s="2">
        <v>4444</v>
      </c>
      <c r="M276" s="2">
        <f>Tabela_dados_base[[#This Row],[Clicks pagos]]+Tabela_dados_base[[#This Row],[Clicks redes sociais]]</f>
        <v>2278</v>
      </c>
      <c r="N276" s="5">
        <f>IFERROR(Tabela_dados_base[[#This Row],[Clicks pagos]]/Tabela_dados_base[[#This Row],[Total de Clicks]],"")</f>
        <v>0</v>
      </c>
      <c r="O276" s="5">
        <f>IFERROR(Tabela_dados_base[[#This Row],[Clicks redes sociais]]/Tabela_dados_base[[#This Row],[Total de Clicks]],"")</f>
        <v>1</v>
      </c>
      <c r="P276" s="6">
        <f>Tabela_dados_base[[#This Row],[Total de Clicks]]/Tabela_dados_base[[#This Row],[Visualizações]]</f>
        <v>0.51260126012601259</v>
      </c>
      <c r="Q276" s="5">
        <f>Tabela_dados_base[[#This Row],[Vezes pesquisados]]/Tabela_dados_base[[#This Row],[Visualizações]]</f>
        <v>8.8658865886588653E-2</v>
      </c>
      <c r="R276" s="5">
        <f>Tabela_dados_base[[#This Row],[Visitas Diretas]]/Tabela_dados_base[[#This Row],[Visualizações]]</f>
        <v>0.19711971197119713</v>
      </c>
    </row>
    <row r="277" spans="1:18" x14ac:dyDescent="0.2">
      <c r="A277" t="s">
        <v>18</v>
      </c>
      <c r="B277" t="s">
        <v>19</v>
      </c>
      <c r="C277" t="s">
        <v>20</v>
      </c>
      <c r="D277">
        <v>1047</v>
      </c>
      <c r="E277" s="1">
        <v>44407</v>
      </c>
      <c r="F277" s="2">
        <v>5117</v>
      </c>
      <c r="G277" s="2">
        <v>8187</v>
      </c>
      <c r="H277" s="2">
        <v>0</v>
      </c>
      <c r="I277" s="2">
        <v>91978</v>
      </c>
      <c r="J277" s="2">
        <v>13304</v>
      </c>
      <c r="K277" s="2">
        <v>2303</v>
      </c>
      <c r="L277" s="2">
        <v>25661</v>
      </c>
      <c r="M277" s="2">
        <f>Tabela_dados_base[[#This Row],[Clicks pagos]]+Tabela_dados_base[[#This Row],[Clicks redes sociais]]</f>
        <v>13304</v>
      </c>
      <c r="N277" s="5">
        <f>IFERROR(Tabela_dados_base[[#This Row],[Clicks pagos]]/Tabela_dados_base[[#This Row],[Total de Clicks]],"")</f>
        <v>0</v>
      </c>
      <c r="O277" s="5">
        <f>IFERROR(Tabela_dados_base[[#This Row],[Clicks redes sociais]]/Tabela_dados_base[[#This Row],[Total de Clicks]],"")</f>
        <v>1</v>
      </c>
      <c r="P277" s="6">
        <f>Tabela_dados_base[[#This Row],[Total de Clicks]]/Tabela_dados_base[[#This Row],[Visualizações]]</f>
        <v>0.51845212579400646</v>
      </c>
      <c r="Q277" s="5">
        <f>Tabela_dados_base[[#This Row],[Vezes pesquisados]]/Tabela_dados_base[[#This Row],[Visualizações]]</f>
        <v>8.9747087019212038E-2</v>
      </c>
      <c r="R277" s="5">
        <f>Tabela_dados_base[[#This Row],[Visitas Diretas]]/Tabela_dados_base[[#This Row],[Visualizações]]</f>
        <v>0.19940766143174468</v>
      </c>
    </row>
    <row r="278" spans="1:18" x14ac:dyDescent="0.2">
      <c r="A278" t="s">
        <v>18</v>
      </c>
      <c r="B278" t="s">
        <v>19</v>
      </c>
      <c r="C278" t="s">
        <v>20</v>
      </c>
      <c r="D278">
        <v>1047</v>
      </c>
      <c r="E278" s="1">
        <v>44408</v>
      </c>
      <c r="F278" s="2">
        <v>12956</v>
      </c>
      <c r="G278" s="2">
        <v>20729</v>
      </c>
      <c r="H278" s="2">
        <v>0</v>
      </c>
      <c r="I278" s="2">
        <v>231584</v>
      </c>
      <c r="J278" s="2">
        <v>33685</v>
      </c>
      <c r="K278" s="2">
        <v>5830</v>
      </c>
      <c r="L278" s="2">
        <v>64865</v>
      </c>
      <c r="M278" s="2">
        <f>Tabela_dados_base[[#This Row],[Clicks pagos]]+Tabela_dados_base[[#This Row],[Clicks redes sociais]]</f>
        <v>33685</v>
      </c>
      <c r="N278" s="5">
        <f>IFERROR(Tabela_dados_base[[#This Row],[Clicks pagos]]/Tabela_dados_base[[#This Row],[Total de Clicks]],"")</f>
        <v>0</v>
      </c>
      <c r="O278" s="5">
        <f>IFERROR(Tabela_dados_base[[#This Row],[Clicks redes sociais]]/Tabela_dados_base[[#This Row],[Total de Clicks]],"")</f>
        <v>1</v>
      </c>
      <c r="P278" s="6">
        <f>Tabela_dados_base[[#This Row],[Total de Clicks]]/Tabela_dados_base[[#This Row],[Visualizações]]</f>
        <v>0.51930933477221919</v>
      </c>
      <c r="Q278" s="5">
        <f>Tabela_dados_base[[#This Row],[Vezes pesquisados]]/Tabela_dados_base[[#This Row],[Visualizações]]</f>
        <v>8.9878979418792873E-2</v>
      </c>
      <c r="R278" s="5">
        <f>Tabela_dados_base[[#This Row],[Visitas Diretas]]/Tabela_dados_base[[#This Row],[Visualizações]]</f>
        <v>0.19973791721267248</v>
      </c>
    </row>
    <row r="279" spans="1:18" x14ac:dyDescent="0.2">
      <c r="A279" t="s">
        <v>18</v>
      </c>
      <c r="B279" t="s">
        <v>19</v>
      </c>
      <c r="C279" t="s">
        <v>20</v>
      </c>
      <c r="D279">
        <v>1047</v>
      </c>
      <c r="E279" s="1">
        <v>44409</v>
      </c>
      <c r="F279" s="2">
        <v>3300</v>
      </c>
      <c r="G279" s="2">
        <v>5280</v>
      </c>
      <c r="H279" s="2">
        <v>0</v>
      </c>
      <c r="I279" s="2">
        <v>62506</v>
      </c>
      <c r="J279" s="2">
        <v>8580</v>
      </c>
      <c r="K279" s="2">
        <v>1485</v>
      </c>
      <c r="L279" s="2">
        <v>16535</v>
      </c>
      <c r="M279" s="2">
        <f>Tabela_dados_base[[#This Row],[Clicks pagos]]+Tabela_dados_base[[#This Row],[Clicks redes sociais]]</f>
        <v>8580</v>
      </c>
      <c r="N279" s="5">
        <f>IFERROR(Tabela_dados_base[[#This Row],[Clicks pagos]]/Tabela_dados_base[[#This Row],[Total de Clicks]],"")</f>
        <v>0</v>
      </c>
      <c r="O279" s="5">
        <f>IFERROR(Tabela_dados_base[[#This Row],[Clicks redes sociais]]/Tabela_dados_base[[#This Row],[Total de Clicks]],"")</f>
        <v>1</v>
      </c>
      <c r="P279" s="6">
        <f>Tabela_dados_base[[#This Row],[Total de Clicks]]/Tabela_dados_base[[#This Row],[Visualizações]]</f>
        <v>0.51889930450559418</v>
      </c>
      <c r="Q279" s="5">
        <f>Tabela_dados_base[[#This Row],[Vezes pesquisados]]/Tabela_dados_base[[#This Row],[Visualizações]]</f>
        <v>8.9809495010583607E-2</v>
      </c>
      <c r="R279" s="5">
        <f>Tabela_dados_base[[#This Row],[Visitas Diretas]]/Tabela_dados_base[[#This Row],[Visualizações]]</f>
        <v>0.1995766555790747</v>
      </c>
    </row>
    <row r="280" spans="1:18" x14ac:dyDescent="0.2">
      <c r="A280" t="s">
        <v>18</v>
      </c>
      <c r="B280" t="s">
        <v>19</v>
      </c>
      <c r="C280" t="s">
        <v>20</v>
      </c>
      <c r="D280">
        <v>1047</v>
      </c>
      <c r="E280" s="1">
        <v>44410</v>
      </c>
      <c r="F280" s="2">
        <v>632</v>
      </c>
      <c r="G280" s="2">
        <v>1012</v>
      </c>
      <c r="H280" s="2">
        <v>0</v>
      </c>
      <c r="I280" s="2">
        <v>6647</v>
      </c>
      <c r="J280" s="2">
        <v>1644</v>
      </c>
      <c r="K280" s="2">
        <v>285</v>
      </c>
      <c r="L280" s="2">
        <v>3216</v>
      </c>
      <c r="M280" s="2">
        <f>Tabela_dados_base[[#This Row],[Clicks pagos]]+Tabela_dados_base[[#This Row],[Clicks redes sociais]]</f>
        <v>1644</v>
      </c>
      <c r="N280" s="5">
        <f>IFERROR(Tabela_dados_base[[#This Row],[Clicks pagos]]/Tabela_dados_base[[#This Row],[Total de Clicks]],"")</f>
        <v>0</v>
      </c>
      <c r="O280" s="5">
        <f>IFERROR(Tabela_dados_base[[#This Row],[Clicks redes sociais]]/Tabela_dados_base[[#This Row],[Total de Clicks]],"")</f>
        <v>1</v>
      </c>
      <c r="P280" s="6">
        <f>Tabela_dados_base[[#This Row],[Total de Clicks]]/Tabela_dados_base[[#This Row],[Visualizações]]</f>
        <v>0.51119402985074625</v>
      </c>
      <c r="Q280" s="5">
        <f>Tabela_dados_base[[#This Row],[Vezes pesquisados]]/Tabela_dados_base[[#This Row],[Visualizações]]</f>
        <v>8.8619402985074633E-2</v>
      </c>
      <c r="R280" s="5">
        <f>Tabela_dados_base[[#This Row],[Visitas Diretas]]/Tabela_dados_base[[#This Row],[Visualizações]]</f>
        <v>0.19651741293532338</v>
      </c>
    </row>
    <row r="281" spans="1:18" x14ac:dyDescent="0.2">
      <c r="A281" t="s">
        <v>18</v>
      </c>
      <c r="B281" t="s">
        <v>19</v>
      </c>
      <c r="C281" t="s">
        <v>20</v>
      </c>
      <c r="D281">
        <v>1047</v>
      </c>
      <c r="E281" s="1">
        <v>44411</v>
      </c>
      <c r="F281" s="2">
        <v>281</v>
      </c>
      <c r="G281" s="2">
        <v>449</v>
      </c>
      <c r="H281" s="2">
        <v>0</v>
      </c>
      <c r="I281" s="2">
        <v>3298</v>
      </c>
      <c r="J281" s="2">
        <v>730</v>
      </c>
      <c r="K281" s="2">
        <v>126</v>
      </c>
      <c r="L281" s="2">
        <v>1460</v>
      </c>
      <c r="M281" s="2">
        <f>Tabela_dados_base[[#This Row],[Clicks pagos]]+Tabela_dados_base[[#This Row],[Clicks redes sociais]]</f>
        <v>730</v>
      </c>
      <c r="N281" s="5">
        <f>IFERROR(Tabela_dados_base[[#This Row],[Clicks pagos]]/Tabela_dados_base[[#This Row],[Total de Clicks]],"")</f>
        <v>0</v>
      </c>
      <c r="O281" s="5">
        <f>IFERROR(Tabela_dados_base[[#This Row],[Clicks redes sociais]]/Tabela_dados_base[[#This Row],[Total de Clicks]],"")</f>
        <v>1</v>
      </c>
      <c r="P281" s="6">
        <f>Tabela_dados_base[[#This Row],[Total de Clicks]]/Tabela_dados_base[[#This Row],[Visualizações]]</f>
        <v>0.5</v>
      </c>
      <c r="Q281" s="5">
        <f>Tabela_dados_base[[#This Row],[Vezes pesquisados]]/Tabela_dados_base[[#This Row],[Visualizações]]</f>
        <v>8.6301369863013705E-2</v>
      </c>
      <c r="R281" s="5">
        <f>Tabela_dados_base[[#This Row],[Visitas Diretas]]/Tabela_dados_base[[#This Row],[Visualizações]]</f>
        <v>0.19246575342465752</v>
      </c>
    </row>
    <row r="282" spans="1:18" x14ac:dyDescent="0.2">
      <c r="A282" t="s">
        <v>18</v>
      </c>
      <c r="B282" t="s">
        <v>19</v>
      </c>
      <c r="C282" t="s">
        <v>20</v>
      </c>
      <c r="D282">
        <v>1047</v>
      </c>
      <c r="E282" s="1">
        <v>44412</v>
      </c>
      <c r="F282" s="2">
        <v>356</v>
      </c>
      <c r="G282" s="2">
        <v>570</v>
      </c>
      <c r="H282" s="2">
        <v>0</v>
      </c>
      <c r="I282" s="2">
        <v>3938</v>
      </c>
      <c r="J282" s="2">
        <v>927</v>
      </c>
      <c r="K282" s="2">
        <v>160</v>
      </c>
      <c r="L282" s="2">
        <v>1857</v>
      </c>
      <c r="M282" s="2">
        <f>Tabela_dados_base[[#This Row],[Clicks pagos]]+Tabela_dados_base[[#This Row],[Clicks redes sociais]]</f>
        <v>927</v>
      </c>
      <c r="N282" s="5">
        <f>IFERROR(Tabela_dados_base[[#This Row],[Clicks pagos]]/Tabela_dados_base[[#This Row],[Total de Clicks]],"")</f>
        <v>0</v>
      </c>
      <c r="O282" s="5">
        <f>IFERROR(Tabela_dados_base[[#This Row],[Clicks redes sociais]]/Tabela_dados_base[[#This Row],[Total de Clicks]],"")</f>
        <v>1</v>
      </c>
      <c r="P282" s="6">
        <f>Tabela_dados_base[[#This Row],[Total de Clicks]]/Tabela_dados_base[[#This Row],[Visualizações]]</f>
        <v>0.49919224555735059</v>
      </c>
      <c r="Q282" s="5">
        <f>Tabela_dados_base[[#This Row],[Vezes pesquisados]]/Tabela_dados_base[[#This Row],[Visualizações]]</f>
        <v>8.616047388260635E-2</v>
      </c>
      <c r="R282" s="5">
        <f>Tabela_dados_base[[#This Row],[Visitas Diretas]]/Tabela_dados_base[[#This Row],[Visualizações]]</f>
        <v>0.19170705438879915</v>
      </c>
    </row>
    <row r="283" spans="1:18" x14ac:dyDescent="0.2">
      <c r="A283" t="s">
        <v>18</v>
      </c>
      <c r="B283" t="s">
        <v>19</v>
      </c>
      <c r="C283" t="s">
        <v>20</v>
      </c>
      <c r="D283">
        <v>1047</v>
      </c>
      <c r="E283" s="1">
        <v>44413</v>
      </c>
      <c r="F283" s="2">
        <v>26</v>
      </c>
      <c r="G283" s="2">
        <v>42</v>
      </c>
      <c r="H283" s="2">
        <v>0</v>
      </c>
      <c r="I283" s="2">
        <v>437</v>
      </c>
      <c r="J283" s="2">
        <v>69</v>
      </c>
      <c r="K283" s="2">
        <v>12</v>
      </c>
      <c r="L283" s="2">
        <v>158</v>
      </c>
      <c r="M283" s="2">
        <f>Tabela_dados_base[[#This Row],[Clicks pagos]]+Tabela_dados_base[[#This Row],[Clicks redes sociais]]</f>
        <v>69</v>
      </c>
      <c r="N283" s="5">
        <f>IFERROR(Tabela_dados_base[[#This Row],[Clicks pagos]]/Tabela_dados_base[[#This Row],[Total de Clicks]],"")</f>
        <v>0</v>
      </c>
      <c r="O283" s="5">
        <f>IFERROR(Tabela_dados_base[[#This Row],[Clicks redes sociais]]/Tabela_dados_base[[#This Row],[Total de Clicks]],"")</f>
        <v>1</v>
      </c>
      <c r="P283" s="6">
        <f>Tabela_dados_base[[#This Row],[Total de Clicks]]/Tabela_dados_base[[#This Row],[Visualizações]]</f>
        <v>0.43670886075949367</v>
      </c>
      <c r="Q283" s="5">
        <f>Tabela_dados_base[[#This Row],[Vezes pesquisados]]/Tabela_dados_base[[#This Row],[Visualizações]]</f>
        <v>7.5949367088607597E-2</v>
      </c>
      <c r="R283" s="5">
        <f>Tabela_dados_base[[#This Row],[Visitas Diretas]]/Tabela_dados_base[[#This Row],[Visualizações]]</f>
        <v>0.16455696202531644</v>
      </c>
    </row>
    <row r="284" spans="1:18" x14ac:dyDescent="0.2">
      <c r="A284" t="s">
        <v>18</v>
      </c>
      <c r="B284" t="s">
        <v>19</v>
      </c>
      <c r="C284" t="s">
        <v>20</v>
      </c>
      <c r="D284">
        <v>1047</v>
      </c>
      <c r="E284" s="1">
        <v>44414</v>
      </c>
      <c r="F284" s="2">
        <v>968</v>
      </c>
      <c r="G284" s="2">
        <v>1549</v>
      </c>
      <c r="H284" s="2">
        <v>0</v>
      </c>
      <c r="I284" s="2">
        <v>5852</v>
      </c>
      <c r="J284" s="2">
        <v>2517</v>
      </c>
      <c r="K284" s="2">
        <v>436</v>
      </c>
      <c r="L284" s="2">
        <v>4842</v>
      </c>
      <c r="M284" s="2">
        <f>Tabela_dados_base[[#This Row],[Clicks pagos]]+Tabela_dados_base[[#This Row],[Clicks redes sociais]]</f>
        <v>2517</v>
      </c>
      <c r="N284" s="5">
        <f>IFERROR(Tabela_dados_base[[#This Row],[Clicks pagos]]/Tabela_dados_base[[#This Row],[Total de Clicks]],"")</f>
        <v>0</v>
      </c>
      <c r="O284" s="5">
        <f>IFERROR(Tabela_dados_base[[#This Row],[Clicks redes sociais]]/Tabela_dados_base[[#This Row],[Total de Clicks]],"")</f>
        <v>1</v>
      </c>
      <c r="P284" s="6">
        <f>Tabela_dados_base[[#This Row],[Total de Clicks]]/Tabela_dados_base[[#This Row],[Visualizações]]</f>
        <v>0.5198265179677819</v>
      </c>
      <c r="Q284" s="5">
        <f>Tabela_dados_base[[#This Row],[Vezes pesquisados]]/Tabela_dados_base[[#This Row],[Visualizações]]</f>
        <v>9.0045435770342838E-2</v>
      </c>
      <c r="R284" s="5">
        <f>Tabela_dados_base[[#This Row],[Visitas Diretas]]/Tabela_dados_base[[#This Row],[Visualizações]]</f>
        <v>0.19991738950846757</v>
      </c>
    </row>
    <row r="285" spans="1:18" x14ac:dyDescent="0.2">
      <c r="A285" t="s">
        <v>18</v>
      </c>
      <c r="B285" t="s">
        <v>19</v>
      </c>
      <c r="C285" t="s">
        <v>20</v>
      </c>
      <c r="D285">
        <v>1047</v>
      </c>
      <c r="E285" s="1">
        <v>44415</v>
      </c>
      <c r="F285" s="2">
        <v>155</v>
      </c>
      <c r="G285" s="2">
        <v>249</v>
      </c>
      <c r="H285" s="2">
        <v>0</v>
      </c>
      <c r="I285" s="2">
        <v>3363</v>
      </c>
      <c r="J285" s="2">
        <v>404</v>
      </c>
      <c r="K285" s="2">
        <v>70</v>
      </c>
      <c r="L285" s="2">
        <v>841</v>
      </c>
      <c r="M285" s="2">
        <f>Tabela_dados_base[[#This Row],[Clicks pagos]]+Tabela_dados_base[[#This Row],[Clicks redes sociais]]</f>
        <v>404</v>
      </c>
      <c r="N285" s="5">
        <f>IFERROR(Tabela_dados_base[[#This Row],[Clicks pagos]]/Tabela_dados_base[[#This Row],[Total de Clicks]],"")</f>
        <v>0</v>
      </c>
      <c r="O285" s="5">
        <f>IFERROR(Tabela_dados_base[[#This Row],[Clicks redes sociais]]/Tabela_dados_base[[#This Row],[Total de Clicks]],"")</f>
        <v>1</v>
      </c>
      <c r="P285" s="6">
        <f>Tabela_dados_base[[#This Row],[Total de Clicks]]/Tabela_dados_base[[#This Row],[Visualizações]]</f>
        <v>0.48038049940546967</v>
      </c>
      <c r="Q285" s="5">
        <f>Tabela_dados_base[[#This Row],[Vezes pesquisados]]/Tabela_dados_base[[#This Row],[Visualizações]]</f>
        <v>8.3234244946492272E-2</v>
      </c>
      <c r="R285" s="5">
        <f>Tabela_dados_base[[#This Row],[Visitas Diretas]]/Tabela_dados_base[[#This Row],[Visualizações]]</f>
        <v>0.18430439952437574</v>
      </c>
    </row>
    <row r="286" spans="1:18" x14ac:dyDescent="0.2">
      <c r="A286" t="s">
        <v>18</v>
      </c>
      <c r="B286" t="s">
        <v>19</v>
      </c>
      <c r="C286" t="s">
        <v>20</v>
      </c>
      <c r="D286">
        <v>1047</v>
      </c>
      <c r="E286" s="1">
        <v>44416</v>
      </c>
      <c r="F286" s="2">
        <v>18</v>
      </c>
      <c r="G286" s="2">
        <v>29</v>
      </c>
      <c r="H286" s="2">
        <v>0</v>
      </c>
      <c r="I286" s="2">
        <v>466</v>
      </c>
      <c r="J286" s="2">
        <v>47</v>
      </c>
      <c r="K286" s="2">
        <v>8</v>
      </c>
      <c r="L286" s="2">
        <v>147</v>
      </c>
      <c r="M286" s="2">
        <f>Tabela_dados_base[[#This Row],[Clicks pagos]]+Tabela_dados_base[[#This Row],[Clicks redes sociais]]</f>
        <v>47</v>
      </c>
      <c r="N286" s="5">
        <f>IFERROR(Tabela_dados_base[[#This Row],[Clicks pagos]]/Tabela_dados_base[[#This Row],[Total de Clicks]],"")</f>
        <v>0</v>
      </c>
      <c r="O286" s="5">
        <f>IFERROR(Tabela_dados_base[[#This Row],[Clicks redes sociais]]/Tabela_dados_base[[#This Row],[Total de Clicks]],"")</f>
        <v>1</v>
      </c>
      <c r="P286" s="6">
        <f>Tabela_dados_base[[#This Row],[Total de Clicks]]/Tabela_dados_base[[#This Row],[Visualizações]]</f>
        <v>0.31972789115646261</v>
      </c>
      <c r="Q286" s="5">
        <f>Tabela_dados_base[[#This Row],[Vezes pesquisados]]/Tabela_dados_base[[#This Row],[Visualizações]]</f>
        <v>5.4421768707482991E-2</v>
      </c>
      <c r="R286" s="5">
        <f>Tabela_dados_base[[#This Row],[Visitas Diretas]]/Tabela_dados_base[[#This Row],[Visualizações]]</f>
        <v>0.12244897959183673</v>
      </c>
    </row>
    <row r="287" spans="1:18" x14ac:dyDescent="0.2">
      <c r="A287" t="s">
        <v>18</v>
      </c>
      <c r="B287" t="s">
        <v>19</v>
      </c>
      <c r="C287" t="s">
        <v>20</v>
      </c>
      <c r="D287">
        <v>1047</v>
      </c>
      <c r="E287" s="1">
        <v>44417</v>
      </c>
      <c r="F287" s="2">
        <v>28</v>
      </c>
      <c r="G287" s="2">
        <v>44</v>
      </c>
      <c r="H287" s="2">
        <v>0</v>
      </c>
      <c r="I287" s="2">
        <v>200</v>
      </c>
      <c r="J287" s="2">
        <v>72</v>
      </c>
      <c r="K287" s="2">
        <v>12</v>
      </c>
      <c r="L287" s="2">
        <v>184</v>
      </c>
      <c r="M287" s="2">
        <f>Tabela_dados_base[[#This Row],[Clicks pagos]]+Tabela_dados_base[[#This Row],[Clicks redes sociais]]</f>
        <v>72</v>
      </c>
      <c r="N287" s="5">
        <f>IFERROR(Tabela_dados_base[[#This Row],[Clicks pagos]]/Tabela_dados_base[[#This Row],[Total de Clicks]],"")</f>
        <v>0</v>
      </c>
      <c r="O287" s="5">
        <f>IFERROR(Tabela_dados_base[[#This Row],[Clicks redes sociais]]/Tabela_dados_base[[#This Row],[Total de Clicks]],"")</f>
        <v>1</v>
      </c>
      <c r="P287" s="6">
        <f>Tabela_dados_base[[#This Row],[Total de Clicks]]/Tabela_dados_base[[#This Row],[Visualizações]]</f>
        <v>0.39130434782608697</v>
      </c>
      <c r="Q287" s="5">
        <f>Tabela_dados_base[[#This Row],[Vezes pesquisados]]/Tabela_dados_base[[#This Row],[Visualizações]]</f>
        <v>6.5217391304347824E-2</v>
      </c>
      <c r="R287" s="5">
        <f>Tabela_dados_base[[#This Row],[Visitas Diretas]]/Tabela_dados_base[[#This Row],[Visualizações]]</f>
        <v>0.15217391304347827</v>
      </c>
    </row>
    <row r="288" spans="1:18" x14ac:dyDescent="0.2">
      <c r="A288" t="s">
        <v>18</v>
      </c>
      <c r="B288" t="s">
        <v>19</v>
      </c>
      <c r="C288" t="s">
        <v>20</v>
      </c>
      <c r="D288">
        <v>1047</v>
      </c>
      <c r="E288" s="1">
        <v>44418</v>
      </c>
      <c r="F288" s="2">
        <v>104</v>
      </c>
      <c r="G288" s="2">
        <v>167</v>
      </c>
      <c r="H288" s="2">
        <v>0</v>
      </c>
      <c r="I288" s="2">
        <v>772</v>
      </c>
      <c r="J288" s="2">
        <v>271</v>
      </c>
      <c r="K288" s="2">
        <v>47</v>
      </c>
      <c r="L288" s="2">
        <v>525</v>
      </c>
      <c r="M288" s="2">
        <f>Tabela_dados_base[[#This Row],[Clicks pagos]]+Tabela_dados_base[[#This Row],[Clicks redes sociais]]</f>
        <v>271</v>
      </c>
      <c r="N288" s="5">
        <f>IFERROR(Tabela_dados_base[[#This Row],[Clicks pagos]]/Tabela_dados_base[[#This Row],[Total de Clicks]],"")</f>
        <v>0</v>
      </c>
      <c r="O288" s="5">
        <f>IFERROR(Tabela_dados_base[[#This Row],[Clicks redes sociais]]/Tabela_dados_base[[#This Row],[Total de Clicks]],"")</f>
        <v>1</v>
      </c>
      <c r="P288" s="6">
        <f>Tabela_dados_base[[#This Row],[Total de Clicks]]/Tabela_dados_base[[#This Row],[Visualizações]]</f>
        <v>0.5161904761904762</v>
      </c>
      <c r="Q288" s="5">
        <f>Tabela_dados_base[[#This Row],[Vezes pesquisados]]/Tabela_dados_base[[#This Row],[Visualizações]]</f>
        <v>8.9523809523809519E-2</v>
      </c>
      <c r="R288" s="5">
        <f>Tabela_dados_base[[#This Row],[Visitas Diretas]]/Tabela_dados_base[[#This Row],[Visualizações]]</f>
        <v>0.1980952380952381</v>
      </c>
    </row>
    <row r="289" spans="1:18" x14ac:dyDescent="0.2">
      <c r="A289" t="s">
        <v>18</v>
      </c>
      <c r="B289" t="s">
        <v>19</v>
      </c>
      <c r="C289" t="s">
        <v>20</v>
      </c>
      <c r="D289">
        <v>1047</v>
      </c>
      <c r="E289" s="1">
        <v>44419</v>
      </c>
      <c r="F289" s="2">
        <v>31</v>
      </c>
      <c r="G289" s="2">
        <v>49</v>
      </c>
      <c r="H289" s="2">
        <v>0</v>
      </c>
      <c r="I289" s="2">
        <v>866</v>
      </c>
      <c r="J289" s="2">
        <v>80</v>
      </c>
      <c r="K289" s="2">
        <v>14</v>
      </c>
      <c r="L289" s="2">
        <v>227</v>
      </c>
      <c r="M289" s="2">
        <f>Tabela_dados_base[[#This Row],[Clicks pagos]]+Tabela_dados_base[[#This Row],[Clicks redes sociais]]</f>
        <v>80</v>
      </c>
      <c r="N289" s="5">
        <f>IFERROR(Tabela_dados_base[[#This Row],[Clicks pagos]]/Tabela_dados_base[[#This Row],[Total de Clicks]],"")</f>
        <v>0</v>
      </c>
      <c r="O289" s="5">
        <f>IFERROR(Tabela_dados_base[[#This Row],[Clicks redes sociais]]/Tabela_dados_base[[#This Row],[Total de Clicks]],"")</f>
        <v>1</v>
      </c>
      <c r="P289" s="6">
        <f>Tabela_dados_base[[#This Row],[Total de Clicks]]/Tabela_dados_base[[#This Row],[Visualizações]]</f>
        <v>0.3524229074889868</v>
      </c>
      <c r="Q289" s="5">
        <f>Tabela_dados_base[[#This Row],[Vezes pesquisados]]/Tabela_dados_base[[#This Row],[Visualizações]]</f>
        <v>6.1674008810572688E-2</v>
      </c>
      <c r="R289" s="5">
        <f>Tabela_dados_base[[#This Row],[Visitas Diretas]]/Tabela_dados_base[[#This Row],[Visualizações]]</f>
        <v>0.13656387665198239</v>
      </c>
    </row>
    <row r="290" spans="1:18" x14ac:dyDescent="0.2">
      <c r="A290" t="s">
        <v>18</v>
      </c>
      <c r="B290" t="s">
        <v>19</v>
      </c>
      <c r="C290" t="s">
        <v>20</v>
      </c>
      <c r="D290">
        <v>1047</v>
      </c>
      <c r="E290" s="1">
        <v>44420</v>
      </c>
      <c r="F290" s="2">
        <v>16</v>
      </c>
      <c r="G290" s="2">
        <v>26</v>
      </c>
      <c r="H290" s="2">
        <v>0</v>
      </c>
      <c r="I290" s="2">
        <v>178</v>
      </c>
      <c r="J290" s="2">
        <v>42</v>
      </c>
      <c r="K290" s="2">
        <v>7</v>
      </c>
      <c r="L290" s="2">
        <v>109</v>
      </c>
      <c r="M290" s="2">
        <f>Tabela_dados_base[[#This Row],[Clicks pagos]]+Tabela_dados_base[[#This Row],[Clicks redes sociais]]</f>
        <v>42</v>
      </c>
      <c r="N290" s="5">
        <f>IFERROR(Tabela_dados_base[[#This Row],[Clicks pagos]]/Tabela_dados_base[[#This Row],[Total de Clicks]],"")</f>
        <v>0</v>
      </c>
      <c r="O290" s="5">
        <f>IFERROR(Tabela_dados_base[[#This Row],[Clicks redes sociais]]/Tabela_dados_base[[#This Row],[Total de Clicks]],"")</f>
        <v>1</v>
      </c>
      <c r="P290" s="6">
        <f>Tabela_dados_base[[#This Row],[Total de Clicks]]/Tabela_dados_base[[#This Row],[Visualizações]]</f>
        <v>0.38532110091743121</v>
      </c>
      <c r="Q290" s="5">
        <f>Tabela_dados_base[[#This Row],[Vezes pesquisados]]/Tabela_dados_base[[#This Row],[Visualizações]]</f>
        <v>6.4220183486238536E-2</v>
      </c>
      <c r="R290" s="5">
        <f>Tabela_dados_base[[#This Row],[Visitas Diretas]]/Tabela_dados_base[[#This Row],[Visualizações]]</f>
        <v>0.14678899082568808</v>
      </c>
    </row>
    <row r="291" spans="1:18" x14ac:dyDescent="0.2">
      <c r="A291" t="s">
        <v>18</v>
      </c>
      <c r="B291" t="s">
        <v>19</v>
      </c>
      <c r="C291" t="s">
        <v>20</v>
      </c>
      <c r="D291">
        <v>1047</v>
      </c>
      <c r="E291" s="1">
        <v>44421</v>
      </c>
      <c r="F291" s="2">
        <v>50</v>
      </c>
      <c r="G291" s="2">
        <v>81</v>
      </c>
      <c r="H291" s="2">
        <v>0</v>
      </c>
      <c r="I291" s="2">
        <v>438</v>
      </c>
      <c r="J291" s="2">
        <v>131</v>
      </c>
      <c r="K291" s="2">
        <v>23</v>
      </c>
      <c r="L291" s="2">
        <v>271</v>
      </c>
      <c r="M291" s="2">
        <f>Tabela_dados_base[[#This Row],[Clicks pagos]]+Tabela_dados_base[[#This Row],[Clicks redes sociais]]</f>
        <v>131</v>
      </c>
      <c r="N291" s="5">
        <f>IFERROR(Tabela_dados_base[[#This Row],[Clicks pagos]]/Tabela_dados_base[[#This Row],[Total de Clicks]],"")</f>
        <v>0</v>
      </c>
      <c r="O291" s="5">
        <f>IFERROR(Tabela_dados_base[[#This Row],[Clicks redes sociais]]/Tabela_dados_base[[#This Row],[Total de Clicks]],"")</f>
        <v>1</v>
      </c>
      <c r="P291" s="6">
        <f>Tabela_dados_base[[#This Row],[Total de Clicks]]/Tabela_dados_base[[#This Row],[Visualizações]]</f>
        <v>0.48339483394833949</v>
      </c>
      <c r="Q291" s="5">
        <f>Tabela_dados_base[[#This Row],[Vezes pesquisados]]/Tabela_dados_base[[#This Row],[Visualizações]]</f>
        <v>8.4870848708487087E-2</v>
      </c>
      <c r="R291" s="5">
        <f>Tabela_dados_base[[#This Row],[Visitas Diretas]]/Tabela_dados_base[[#This Row],[Visualizações]]</f>
        <v>0.18450184501845018</v>
      </c>
    </row>
    <row r="292" spans="1:18" x14ac:dyDescent="0.2">
      <c r="A292" t="s">
        <v>18</v>
      </c>
      <c r="B292" t="s">
        <v>19</v>
      </c>
      <c r="C292" t="s">
        <v>20</v>
      </c>
      <c r="D292">
        <v>1047</v>
      </c>
      <c r="E292" s="1">
        <v>44422</v>
      </c>
      <c r="F292" s="2">
        <v>18</v>
      </c>
      <c r="G292" s="2">
        <v>28</v>
      </c>
      <c r="H292" s="2">
        <v>0</v>
      </c>
      <c r="I292" s="2">
        <v>409</v>
      </c>
      <c r="J292" s="2">
        <v>46</v>
      </c>
      <c r="K292" s="2">
        <v>8</v>
      </c>
      <c r="L292" s="2">
        <v>118</v>
      </c>
      <c r="M292" s="2">
        <f>Tabela_dados_base[[#This Row],[Clicks pagos]]+Tabela_dados_base[[#This Row],[Clicks redes sociais]]</f>
        <v>46</v>
      </c>
      <c r="N292" s="5">
        <f>IFERROR(Tabela_dados_base[[#This Row],[Clicks pagos]]/Tabela_dados_base[[#This Row],[Total de Clicks]],"")</f>
        <v>0</v>
      </c>
      <c r="O292" s="5">
        <f>IFERROR(Tabela_dados_base[[#This Row],[Clicks redes sociais]]/Tabela_dados_base[[#This Row],[Total de Clicks]],"")</f>
        <v>1</v>
      </c>
      <c r="P292" s="6">
        <f>Tabela_dados_base[[#This Row],[Total de Clicks]]/Tabela_dados_base[[#This Row],[Visualizações]]</f>
        <v>0.38983050847457629</v>
      </c>
      <c r="Q292" s="5">
        <f>Tabela_dados_base[[#This Row],[Vezes pesquisados]]/Tabela_dados_base[[#This Row],[Visualizações]]</f>
        <v>6.7796610169491525E-2</v>
      </c>
      <c r="R292" s="5">
        <f>Tabela_dados_base[[#This Row],[Visitas Diretas]]/Tabela_dados_base[[#This Row],[Visualizações]]</f>
        <v>0.15254237288135594</v>
      </c>
    </row>
    <row r="293" spans="1:18" x14ac:dyDescent="0.2">
      <c r="A293" t="s">
        <v>18</v>
      </c>
      <c r="B293" t="s">
        <v>19</v>
      </c>
      <c r="C293" t="s">
        <v>20</v>
      </c>
      <c r="D293">
        <v>1047</v>
      </c>
      <c r="E293" s="1">
        <v>44423</v>
      </c>
      <c r="F293" s="2">
        <v>54</v>
      </c>
      <c r="G293" s="2">
        <v>87</v>
      </c>
      <c r="H293" s="2">
        <v>0</v>
      </c>
      <c r="I293" s="2">
        <v>448</v>
      </c>
      <c r="J293" s="2">
        <v>141</v>
      </c>
      <c r="K293" s="2">
        <v>24</v>
      </c>
      <c r="L293" s="2">
        <v>272</v>
      </c>
      <c r="M293" s="2">
        <f>Tabela_dados_base[[#This Row],[Clicks pagos]]+Tabela_dados_base[[#This Row],[Clicks redes sociais]]</f>
        <v>141</v>
      </c>
      <c r="N293" s="5">
        <f>IFERROR(Tabela_dados_base[[#This Row],[Clicks pagos]]/Tabela_dados_base[[#This Row],[Total de Clicks]],"")</f>
        <v>0</v>
      </c>
      <c r="O293" s="5">
        <f>IFERROR(Tabela_dados_base[[#This Row],[Clicks redes sociais]]/Tabela_dados_base[[#This Row],[Total de Clicks]],"")</f>
        <v>1</v>
      </c>
      <c r="P293" s="6">
        <f>Tabela_dados_base[[#This Row],[Total de Clicks]]/Tabela_dados_base[[#This Row],[Visualizações]]</f>
        <v>0.51838235294117652</v>
      </c>
      <c r="Q293" s="5">
        <f>Tabela_dados_base[[#This Row],[Vezes pesquisados]]/Tabela_dados_base[[#This Row],[Visualizações]]</f>
        <v>8.8235294117647065E-2</v>
      </c>
      <c r="R293" s="5">
        <f>Tabela_dados_base[[#This Row],[Visitas Diretas]]/Tabela_dados_base[[#This Row],[Visualizações]]</f>
        <v>0.19852941176470587</v>
      </c>
    </row>
    <row r="294" spans="1:18" x14ac:dyDescent="0.2">
      <c r="A294" t="s">
        <v>18</v>
      </c>
      <c r="B294" t="s">
        <v>19</v>
      </c>
      <c r="C294" t="s">
        <v>20</v>
      </c>
      <c r="D294">
        <v>1047</v>
      </c>
      <c r="E294" s="1">
        <v>44424</v>
      </c>
      <c r="F294" s="2">
        <v>210</v>
      </c>
      <c r="G294" s="2">
        <v>336</v>
      </c>
      <c r="H294" s="2">
        <v>0</v>
      </c>
      <c r="I294" s="2">
        <v>2733</v>
      </c>
      <c r="J294" s="2">
        <v>546</v>
      </c>
      <c r="K294" s="2">
        <v>95</v>
      </c>
      <c r="L294" s="2">
        <v>1074</v>
      </c>
      <c r="M294" s="2">
        <f>Tabela_dados_base[[#This Row],[Clicks pagos]]+Tabela_dados_base[[#This Row],[Clicks redes sociais]]</f>
        <v>546</v>
      </c>
      <c r="N294" s="5">
        <f>IFERROR(Tabela_dados_base[[#This Row],[Clicks pagos]]/Tabela_dados_base[[#This Row],[Total de Clicks]],"")</f>
        <v>0</v>
      </c>
      <c r="O294" s="5">
        <f>IFERROR(Tabela_dados_base[[#This Row],[Clicks redes sociais]]/Tabela_dados_base[[#This Row],[Total de Clicks]],"")</f>
        <v>1</v>
      </c>
      <c r="P294" s="6">
        <f>Tabela_dados_base[[#This Row],[Total de Clicks]]/Tabela_dados_base[[#This Row],[Visualizações]]</f>
        <v>0.50837988826815639</v>
      </c>
      <c r="Q294" s="5">
        <f>Tabela_dados_base[[#This Row],[Vezes pesquisados]]/Tabela_dados_base[[#This Row],[Visualizações]]</f>
        <v>8.8454376163873374E-2</v>
      </c>
      <c r="R294" s="5">
        <f>Tabela_dados_base[[#This Row],[Visitas Diretas]]/Tabela_dados_base[[#This Row],[Visualizações]]</f>
        <v>0.19553072625698323</v>
      </c>
    </row>
    <row r="295" spans="1:18" x14ac:dyDescent="0.2">
      <c r="A295" t="s">
        <v>18</v>
      </c>
      <c r="B295" t="s">
        <v>19</v>
      </c>
      <c r="C295" t="s">
        <v>20</v>
      </c>
      <c r="D295">
        <v>1047</v>
      </c>
      <c r="E295" s="1">
        <v>44425</v>
      </c>
      <c r="F295" s="2">
        <v>22</v>
      </c>
      <c r="G295" s="2">
        <v>35</v>
      </c>
      <c r="H295" s="2">
        <v>0</v>
      </c>
      <c r="I295" s="2">
        <v>186</v>
      </c>
      <c r="J295" s="2">
        <v>56</v>
      </c>
      <c r="K295" s="2">
        <v>10</v>
      </c>
      <c r="L295" s="2">
        <v>144</v>
      </c>
      <c r="M295" s="2">
        <f>Tabela_dados_base[[#This Row],[Clicks pagos]]+Tabela_dados_base[[#This Row],[Clicks redes sociais]]</f>
        <v>56</v>
      </c>
      <c r="N295" s="5">
        <f>IFERROR(Tabela_dados_base[[#This Row],[Clicks pagos]]/Tabela_dados_base[[#This Row],[Total de Clicks]],"")</f>
        <v>0</v>
      </c>
      <c r="O295" s="5">
        <f>IFERROR(Tabela_dados_base[[#This Row],[Clicks redes sociais]]/Tabela_dados_base[[#This Row],[Total de Clicks]],"")</f>
        <v>1</v>
      </c>
      <c r="P295" s="6">
        <f>Tabela_dados_base[[#This Row],[Total de Clicks]]/Tabela_dados_base[[#This Row],[Visualizações]]</f>
        <v>0.3888888888888889</v>
      </c>
      <c r="Q295" s="5">
        <f>Tabela_dados_base[[#This Row],[Vezes pesquisados]]/Tabela_dados_base[[#This Row],[Visualizações]]</f>
        <v>6.9444444444444448E-2</v>
      </c>
      <c r="R295" s="5">
        <f>Tabela_dados_base[[#This Row],[Visitas Diretas]]/Tabela_dados_base[[#This Row],[Visualizações]]</f>
        <v>0.15277777777777779</v>
      </c>
    </row>
    <row r="296" spans="1:18" x14ac:dyDescent="0.2">
      <c r="A296" t="s">
        <v>18</v>
      </c>
      <c r="B296" t="s">
        <v>19</v>
      </c>
      <c r="C296" t="s">
        <v>20</v>
      </c>
      <c r="D296">
        <v>1047</v>
      </c>
      <c r="E296" s="1">
        <v>44426</v>
      </c>
      <c r="F296" s="2">
        <v>8</v>
      </c>
      <c r="G296" s="2">
        <v>12</v>
      </c>
      <c r="H296" s="2">
        <v>0</v>
      </c>
      <c r="I296" s="2">
        <v>362</v>
      </c>
      <c r="J296" s="2">
        <v>20</v>
      </c>
      <c r="K296" s="2">
        <v>3</v>
      </c>
      <c r="L296" s="2">
        <v>108</v>
      </c>
      <c r="M296" s="2">
        <f>Tabela_dados_base[[#This Row],[Clicks pagos]]+Tabela_dados_base[[#This Row],[Clicks redes sociais]]</f>
        <v>20</v>
      </c>
      <c r="N296" s="5">
        <f>IFERROR(Tabela_dados_base[[#This Row],[Clicks pagos]]/Tabela_dados_base[[#This Row],[Total de Clicks]],"")</f>
        <v>0</v>
      </c>
      <c r="O296" s="5">
        <f>IFERROR(Tabela_dados_base[[#This Row],[Clicks redes sociais]]/Tabela_dados_base[[#This Row],[Total de Clicks]],"")</f>
        <v>1</v>
      </c>
      <c r="P296" s="6">
        <f>Tabela_dados_base[[#This Row],[Total de Clicks]]/Tabela_dados_base[[#This Row],[Visualizações]]</f>
        <v>0.18518518518518517</v>
      </c>
      <c r="Q296" s="5">
        <f>Tabela_dados_base[[#This Row],[Vezes pesquisados]]/Tabela_dados_base[[#This Row],[Visualizações]]</f>
        <v>2.7777777777777776E-2</v>
      </c>
      <c r="R296" s="5">
        <f>Tabela_dados_base[[#This Row],[Visitas Diretas]]/Tabela_dados_base[[#This Row],[Visualizações]]</f>
        <v>7.407407407407407E-2</v>
      </c>
    </row>
    <row r="297" spans="1:18" x14ac:dyDescent="0.2">
      <c r="A297" t="s">
        <v>18</v>
      </c>
      <c r="B297" t="s">
        <v>19</v>
      </c>
      <c r="C297" t="s">
        <v>20</v>
      </c>
      <c r="D297">
        <v>1047</v>
      </c>
      <c r="E297" s="1">
        <v>44427</v>
      </c>
      <c r="F297" s="2">
        <v>11</v>
      </c>
      <c r="G297" s="2">
        <v>18</v>
      </c>
      <c r="H297" s="2">
        <v>0</v>
      </c>
      <c r="I297" s="2">
        <v>323</v>
      </c>
      <c r="J297" s="2">
        <v>29</v>
      </c>
      <c r="K297" s="2">
        <v>5</v>
      </c>
      <c r="L297" s="2">
        <v>154</v>
      </c>
      <c r="M297" s="2">
        <f>Tabela_dados_base[[#This Row],[Clicks pagos]]+Tabela_dados_base[[#This Row],[Clicks redes sociais]]</f>
        <v>29</v>
      </c>
      <c r="N297" s="5">
        <f>IFERROR(Tabela_dados_base[[#This Row],[Clicks pagos]]/Tabela_dados_base[[#This Row],[Total de Clicks]],"")</f>
        <v>0</v>
      </c>
      <c r="O297" s="5">
        <f>IFERROR(Tabela_dados_base[[#This Row],[Clicks redes sociais]]/Tabela_dados_base[[#This Row],[Total de Clicks]],"")</f>
        <v>1</v>
      </c>
      <c r="P297" s="6">
        <f>Tabela_dados_base[[#This Row],[Total de Clicks]]/Tabela_dados_base[[#This Row],[Visualizações]]</f>
        <v>0.18831168831168832</v>
      </c>
      <c r="Q297" s="5">
        <f>Tabela_dados_base[[#This Row],[Vezes pesquisados]]/Tabela_dados_base[[#This Row],[Visualizações]]</f>
        <v>3.2467532467532464E-2</v>
      </c>
      <c r="R297" s="5">
        <f>Tabela_dados_base[[#This Row],[Visitas Diretas]]/Tabela_dados_base[[#This Row],[Visualizações]]</f>
        <v>7.1428571428571425E-2</v>
      </c>
    </row>
    <row r="298" spans="1:18" x14ac:dyDescent="0.2">
      <c r="A298" t="s">
        <v>18</v>
      </c>
      <c r="B298" t="s">
        <v>19</v>
      </c>
      <c r="C298" t="s">
        <v>20</v>
      </c>
      <c r="D298">
        <v>1047</v>
      </c>
      <c r="E298" s="1">
        <v>44428</v>
      </c>
      <c r="F298" s="2">
        <v>4</v>
      </c>
      <c r="G298" s="2">
        <v>6</v>
      </c>
      <c r="H298" s="2">
        <v>0</v>
      </c>
      <c r="I298" s="2">
        <v>204</v>
      </c>
      <c r="J298" s="2">
        <v>9</v>
      </c>
      <c r="K298" s="2">
        <v>2</v>
      </c>
      <c r="L298" s="2">
        <v>112</v>
      </c>
      <c r="M298" s="2">
        <f>Tabela_dados_base[[#This Row],[Clicks pagos]]+Tabela_dados_base[[#This Row],[Clicks redes sociais]]</f>
        <v>9</v>
      </c>
      <c r="N298" s="5">
        <f>IFERROR(Tabela_dados_base[[#This Row],[Clicks pagos]]/Tabela_dados_base[[#This Row],[Total de Clicks]],"")</f>
        <v>0</v>
      </c>
      <c r="O298" s="5">
        <f>IFERROR(Tabela_dados_base[[#This Row],[Clicks redes sociais]]/Tabela_dados_base[[#This Row],[Total de Clicks]],"")</f>
        <v>1</v>
      </c>
      <c r="P298" s="6">
        <f>Tabela_dados_base[[#This Row],[Total de Clicks]]/Tabela_dados_base[[#This Row],[Visualizações]]</f>
        <v>8.0357142857142863E-2</v>
      </c>
      <c r="Q298" s="5">
        <f>Tabela_dados_base[[#This Row],[Vezes pesquisados]]/Tabela_dados_base[[#This Row],[Visualizações]]</f>
        <v>1.7857142857142856E-2</v>
      </c>
      <c r="R298" s="5">
        <f>Tabela_dados_base[[#This Row],[Visitas Diretas]]/Tabela_dados_base[[#This Row],[Visualizações]]</f>
        <v>3.5714285714285712E-2</v>
      </c>
    </row>
    <row r="299" spans="1:18" x14ac:dyDescent="0.2">
      <c r="A299" t="s">
        <v>18</v>
      </c>
      <c r="B299" t="s">
        <v>19</v>
      </c>
      <c r="C299" t="s">
        <v>20</v>
      </c>
      <c r="D299">
        <v>1047</v>
      </c>
      <c r="E299" s="1">
        <v>44429</v>
      </c>
      <c r="F299" s="2">
        <v>164</v>
      </c>
      <c r="G299" s="2">
        <v>262</v>
      </c>
      <c r="H299" s="2">
        <v>0</v>
      </c>
      <c r="I299" s="2">
        <v>1245</v>
      </c>
      <c r="J299" s="2">
        <v>426</v>
      </c>
      <c r="K299" s="2">
        <v>74</v>
      </c>
      <c r="L299" s="2">
        <v>886</v>
      </c>
      <c r="M299" s="2">
        <f>Tabela_dados_base[[#This Row],[Clicks pagos]]+Tabela_dados_base[[#This Row],[Clicks redes sociais]]</f>
        <v>426</v>
      </c>
      <c r="N299" s="5">
        <f>IFERROR(Tabela_dados_base[[#This Row],[Clicks pagos]]/Tabela_dados_base[[#This Row],[Total de Clicks]],"")</f>
        <v>0</v>
      </c>
      <c r="O299" s="5">
        <f>IFERROR(Tabela_dados_base[[#This Row],[Clicks redes sociais]]/Tabela_dados_base[[#This Row],[Total de Clicks]],"")</f>
        <v>1</v>
      </c>
      <c r="P299" s="6">
        <f>Tabela_dados_base[[#This Row],[Total de Clicks]]/Tabela_dados_base[[#This Row],[Visualizações]]</f>
        <v>0.48081264108352145</v>
      </c>
      <c r="Q299" s="5">
        <f>Tabela_dados_base[[#This Row],[Vezes pesquisados]]/Tabela_dados_base[[#This Row],[Visualizações]]</f>
        <v>8.35214446952596E-2</v>
      </c>
      <c r="R299" s="5">
        <f>Tabela_dados_base[[#This Row],[Visitas Diretas]]/Tabela_dados_base[[#This Row],[Visualizações]]</f>
        <v>0.18510158013544017</v>
      </c>
    </row>
    <row r="300" spans="1:18" x14ac:dyDescent="0.2">
      <c r="A300" t="s">
        <v>18</v>
      </c>
      <c r="B300" t="s">
        <v>19</v>
      </c>
      <c r="C300" t="s">
        <v>20</v>
      </c>
      <c r="D300">
        <v>1047</v>
      </c>
      <c r="E300" s="1">
        <v>44430</v>
      </c>
      <c r="F300" s="2">
        <v>103</v>
      </c>
      <c r="G300" s="2">
        <v>165</v>
      </c>
      <c r="H300" s="2">
        <v>0</v>
      </c>
      <c r="I300" s="2">
        <v>1710</v>
      </c>
      <c r="J300" s="2">
        <v>268</v>
      </c>
      <c r="K300" s="2">
        <v>46</v>
      </c>
      <c r="L300" s="2">
        <v>554</v>
      </c>
      <c r="M300" s="2">
        <f>Tabela_dados_base[[#This Row],[Clicks pagos]]+Tabela_dados_base[[#This Row],[Clicks redes sociais]]</f>
        <v>268</v>
      </c>
      <c r="N300" s="5">
        <f>IFERROR(Tabela_dados_base[[#This Row],[Clicks pagos]]/Tabela_dados_base[[#This Row],[Total de Clicks]],"")</f>
        <v>0</v>
      </c>
      <c r="O300" s="5">
        <f>IFERROR(Tabela_dados_base[[#This Row],[Clicks redes sociais]]/Tabela_dados_base[[#This Row],[Total de Clicks]],"")</f>
        <v>1</v>
      </c>
      <c r="P300" s="6">
        <f>Tabela_dados_base[[#This Row],[Total de Clicks]]/Tabela_dados_base[[#This Row],[Visualizações]]</f>
        <v>0.48375451263537905</v>
      </c>
      <c r="Q300" s="5">
        <f>Tabela_dados_base[[#This Row],[Vezes pesquisados]]/Tabela_dados_base[[#This Row],[Visualizações]]</f>
        <v>8.3032490974729242E-2</v>
      </c>
      <c r="R300" s="5">
        <f>Tabela_dados_base[[#This Row],[Visitas Diretas]]/Tabela_dados_base[[#This Row],[Visualizações]]</f>
        <v>0.18592057761732853</v>
      </c>
    </row>
    <row r="301" spans="1:18" x14ac:dyDescent="0.2">
      <c r="A301" t="s">
        <v>18</v>
      </c>
      <c r="B301" t="s">
        <v>19</v>
      </c>
      <c r="C301" t="s">
        <v>20</v>
      </c>
      <c r="D301">
        <v>1047</v>
      </c>
      <c r="E301" s="1">
        <v>44431</v>
      </c>
      <c r="F301" s="2">
        <v>9</v>
      </c>
      <c r="G301" s="2">
        <v>14</v>
      </c>
      <c r="H301" s="2">
        <v>0</v>
      </c>
      <c r="I301" s="2">
        <v>156</v>
      </c>
      <c r="J301" s="2">
        <v>22</v>
      </c>
      <c r="K301" s="2">
        <v>4</v>
      </c>
      <c r="L301" s="2">
        <v>83</v>
      </c>
      <c r="M301" s="2">
        <f>Tabela_dados_base[[#This Row],[Clicks pagos]]+Tabela_dados_base[[#This Row],[Clicks redes sociais]]</f>
        <v>22</v>
      </c>
      <c r="N301" s="5">
        <f>IFERROR(Tabela_dados_base[[#This Row],[Clicks pagos]]/Tabela_dados_base[[#This Row],[Total de Clicks]],"")</f>
        <v>0</v>
      </c>
      <c r="O301" s="5">
        <f>IFERROR(Tabela_dados_base[[#This Row],[Clicks redes sociais]]/Tabela_dados_base[[#This Row],[Total de Clicks]],"")</f>
        <v>1</v>
      </c>
      <c r="P301" s="6">
        <f>Tabela_dados_base[[#This Row],[Total de Clicks]]/Tabela_dados_base[[#This Row],[Visualizações]]</f>
        <v>0.26506024096385544</v>
      </c>
      <c r="Q301" s="5">
        <f>Tabela_dados_base[[#This Row],[Vezes pesquisados]]/Tabela_dados_base[[#This Row],[Visualizações]]</f>
        <v>4.8192771084337352E-2</v>
      </c>
      <c r="R301" s="5">
        <f>Tabela_dados_base[[#This Row],[Visitas Diretas]]/Tabela_dados_base[[#This Row],[Visualizações]]</f>
        <v>0.10843373493975904</v>
      </c>
    </row>
    <row r="302" spans="1:18" x14ac:dyDescent="0.2">
      <c r="A302" t="s">
        <v>18</v>
      </c>
      <c r="B302" t="s">
        <v>19</v>
      </c>
      <c r="C302" t="s">
        <v>20</v>
      </c>
      <c r="D302">
        <v>1047</v>
      </c>
      <c r="E302" s="1">
        <v>44432</v>
      </c>
      <c r="F302" s="2">
        <v>6</v>
      </c>
      <c r="G302" s="2">
        <v>10</v>
      </c>
      <c r="H302" s="2">
        <v>0</v>
      </c>
      <c r="I302" s="2">
        <v>340</v>
      </c>
      <c r="J302" s="2">
        <v>17</v>
      </c>
      <c r="K302" s="2">
        <v>3</v>
      </c>
      <c r="L302" s="2">
        <v>108</v>
      </c>
      <c r="M302" s="2">
        <f>Tabela_dados_base[[#This Row],[Clicks pagos]]+Tabela_dados_base[[#This Row],[Clicks redes sociais]]</f>
        <v>17</v>
      </c>
      <c r="N302" s="5">
        <f>IFERROR(Tabela_dados_base[[#This Row],[Clicks pagos]]/Tabela_dados_base[[#This Row],[Total de Clicks]],"")</f>
        <v>0</v>
      </c>
      <c r="O302" s="5">
        <f>IFERROR(Tabela_dados_base[[#This Row],[Clicks redes sociais]]/Tabela_dados_base[[#This Row],[Total de Clicks]],"")</f>
        <v>1</v>
      </c>
      <c r="P302" s="6">
        <f>Tabela_dados_base[[#This Row],[Total de Clicks]]/Tabela_dados_base[[#This Row],[Visualizações]]</f>
        <v>0.15740740740740741</v>
      </c>
      <c r="Q302" s="5">
        <f>Tabela_dados_base[[#This Row],[Vezes pesquisados]]/Tabela_dados_base[[#This Row],[Visualizações]]</f>
        <v>2.7777777777777776E-2</v>
      </c>
      <c r="R302" s="5">
        <f>Tabela_dados_base[[#This Row],[Visitas Diretas]]/Tabela_dados_base[[#This Row],[Visualizações]]</f>
        <v>5.5555555555555552E-2</v>
      </c>
    </row>
    <row r="303" spans="1:18" x14ac:dyDescent="0.2">
      <c r="A303" t="s">
        <v>18</v>
      </c>
      <c r="B303" t="s">
        <v>19</v>
      </c>
      <c r="C303" t="s">
        <v>20</v>
      </c>
      <c r="D303">
        <v>1047</v>
      </c>
      <c r="E303" s="1">
        <v>44433</v>
      </c>
      <c r="F303" s="2">
        <v>18</v>
      </c>
      <c r="G303" s="2">
        <v>28</v>
      </c>
      <c r="H303" s="2">
        <v>0</v>
      </c>
      <c r="I303" s="2">
        <v>218</v>
      </c>
      <c r="J303" s="2">
        <v>46</v>
      </c>
      <c r="K303" s="2">
        <v>8</v>
      </c>
      <c r="L303" s="2">
        <v>100</v>
      </c>
      <c r="M303" s="2">
        <f>Tabela_dados_base[[#This Row],[Clicks pagos]]+Tabela_dados_base[[#This Row],[Clicks redes sociais]]</f>
        <v>46</v>
      </c>
      <c r="N303" s="5">
        <f>IFERROR(Tabela_dados_base[[#This Row],[Clicks pagos]]/Tabela_dados_base[[#This Row],[Total de Clicks]],"")</f>
        <v>0</v>
      </c>
      <c r="O303" s="5">
        <f>IFERROR(Tabela_dados_base[[#This Row],[Clicks redes sociais]]/Tabela_dados_base[[#This Row],[Total de Clicks]],"")</f>
        <v>1</v>
      </c>
      <c r="P303" s="6">
        <f>Tabela_dados_base[[#This Row],[Total de Clicks]]/Tabela_dados_base[[#This Row],[Visualizações]]</f>
        <v>0.46</v>
      </c>
      <c r="Q303" s="5">
        <f>Tabela_dados_base[[#This Row],[Vezes pesquisados]]/Tabela_dados_base[[#This Row],[Visualizações]]</f>
        <v>0.08</v>
      </c>
      <c r="R303" s="5">
        <f>Tabela_dados_base[[#This Row],[Visitas Diretas]]/Tabela_dados_base[[#This Row],[Visualizações]]</f>
        <v>0.18</v>
      </c>
    </row>
    <row r="304" spans="1:18" x14ac:dyDescent="0.2">
      <c r="A304" t="s">
        <v>18</v>
      </c>
      <c r="B304" t="s">
        <v>19</v>
      </c>
      <c r="C304" t="s">
        <v>20</v>
      </c>
      <c r="D304">
        <v>1047</v>
      </c>
      <c r="E304" s="1">
        <v>44434</v>
      </c>
      <c r="F304" s="2">
        <v>18</v>
      </c>
      <c r="G304" s="2">
        <v>28</v>
      </c>
      <c r="H304" s="2">
        <v>0</v>
      </c>
      <c r="I304" s="2">
        <v>161</v>
      </c>
      <c r="J304" s="2">
        <v>46</v>
      </c>
      <c r="K304" s="2">
        <v>8</v>
      </c>
      <c r="L304" s="2">
        <v>98</v>
      </c>
      <c r="M304" s="2">
        <f>Tabela_dados_base[[#This Row],[Clicks pagos]]+Tabela_dados_base[[#This Row],[Clicks redes sociais]]</f>
        <v>46</v>
      </c>
      <c r="N304" s="5">
        <f>IFERROR(Tabela_dados_base[[#This Row],[Clicks pagos]]/Tabela_dados_base[[#This Row],[Total de Clicks]],"")</f>
        <v>0</v>
      </c>
      <c r="O304" s="5">
        <f>IFERROR(Tabela_dados_base[[#This Row],[Clicks redes sociais]]/Tabela_dados_base[[#This Row],[Total de Clicks]],"")</f>
        <v>1</v>
      </c>
      <c r="P304" s="6">
        <f>Tabela_dados_base[[#This Row],[Total de Clicks]]/Tabela_dados_base[[#This Row],[Visualizações]]</f>
        <v>0.46938775510204084</v>
      </c>
      <c r="Q304" s="5">
        <f>Tabela_dados_base[[#This Row],[Vezes pesquisados]]/Tabela_dados_base[[#This Row],[Visualizações]]</f>
        <v>8.1632653061224483E-2</v>
      </c>
      <c r="R304" s="5">
        <f>Tabela_dados_base[[#This Row],[Visitas Diretas]]/Tabela_dados_base[[#This Row],[Visualizações]]</f>
        <v>0.18367346938775511</v>
      </c>
    </row>
    <row r="305" spans="1:18" x14ac:dyDescent="0.2">
      <c r="A305" t="s">
        <v>18</v>
      </c>
      <c r="B305" t="s">
        <v>19</v>
      </c>
      <c r="C305" t="s">
        <v>20</v>
      </c>
      <c r="D305">
        <v>1047</v>
      </c>
      <c r="E305" s="1">
        <v>44435</v>
      </c>
      <c r="F305" s="2">
        <v>35</v>
      </c>
      <c r="G305" s="2">
        <v>56</v>
      </c>
      <c r="H305" s="2">
        <v>0</v>
      </c>
      <c r="I305" s="2">
        <v>229</v>
      </c>
      <c r="J305" s="2">
        <v>92</v>
      </c>
      <c r="K305" s="2">
        <v>16</v>
      </c>
      <c r="L305" s="2">
        <v>212</v>
      </c>
      <c r="M305" s="2">
        <f>Tabela_dados_base[[#This Row],[Clicks pagos]]+Tabela_dados_base[[#This Row],[Clicks redes sociais]]</f>
        <v>92</v>
      </c>
      <c r="N305" s="5">
        <f>IFERROR(Tabela_dados_base[[#This Row],[Clicks pagos]]/Tabela_dados_base[[#This Row],[Total de Clicks]],"")</f>
        <v>0</v>
      </c>
      <c r="O305" s="5">
        <f>IFERROR(Tabela_dados_base[[#This Row],[Clicks redes sociais]]/Tabela_dados_base[[#This Row],[Total de Clicks]],"")</f>
        <v>1</v>
      </c>
      <c r="P305" s="6">
        <f>Tabela_dados_base[[#This Row],[Total de Clicks]]/Tabela_dados_base[[#This Row],[Visualizações]]</f>
        <v>0.43396226415094341</v>
      </c>
      <c r="Q305" s="5">
        <f>Tabela_dados_base[[#This Row],[Vezes pesquisados]]/Tabela_dados_base[[#This Row],[Visualizações]]</f>
        <v>7.5471698113207544E-2</v>
      </c>
      <c r="R305" s="5">
        <f>Tabela_dados_base[[#This Row],[Visitas Diretas]]/Tabela_dados_base[[#This Row],[Visualizações]]</f>
        <v>0.1650943396226415</v>
      </c>
    </row>
    <row r="306" spans="1:18" x14ac:dyDescent="0.2">
      <c r="A306" t="s">
        <v>18</v>
      </c>
      <c r="B306" t="s">
        <v>19</v>
      </c>
      <c r="C306" t="s">
        <v>20</v>
      </c>
      <c r="D306">
        <v>1047</v>
      </c>
      <c r="E306" s="1">
        <v>44436</v>
      </c>
      <c r="F306" s="2">
        <v>52</v>
      </c>
      <c r="G306" s="2">
        <v>83</v>
      </c>
      <c r="H306" s="2">
        <v>0</v>
      </c>
      <c r="I306" s="2">
        <v>1384</v>
      </c>
      <c r="J306" s="2">
        <v>134</v>
      </c>
      <c r="K306" s="2">
        <v>23</v>
      </c>
      <c r="L306" s="2">
        <v>354</v>
      </c>
      <c r="M306" s="2">
        <f>Tabela_dados_base[[#This Row],[Clicks pagos]]+Tabela_dados_base[[#This Row],[Clicks redes sociais]]</f>
        <v>134</v>
      </c>
      <c r="N306" s="5">
        <f>IFERROR(Tabela_dados_base[[#This Row],[Clicks pagos]]/Tabela_dados_base[[#This Row],[Total de Clicks]],"")</f>
        <v>0</v>
      </c>
      <c r="O306" s="5">
        <f>IFERROR(Tabela_dados_base[[#This Row],[Clicks redes sociais]]/Tabela_dados_base[[#This Row],[Total de Clicks]],"")</f>
        <v>1</v>
      </c>
      <c r="P306" s="6">
        <f>Tabela_dados_base[[#This Row],[Total de Clicks]]/Tabela_dados_base[[#This Row],[Visualizações]]</f>
        <v>0.37853107344632769</v>
      </c>
      <c r="Q306" s="5">
        <f>Tabela_dados_base[[#This Row],[Vezes pesquisados]]/Tabela_dados_base[[#This Row],[Visualizações]]</f>
        <v>6.4971751412429377E-2</v>
      </c>
      <c r="R306" s="5">
        <f>Tabela_dados_base[[#This Row],[Visitas Diretas]]/Tabela_dados_base[[#This Row],[Visualizações]]</f>
        <v>0.14689265536723164</v>
      </c>
    </row>
    <row r="307" spans="1:18" x14ac:dyDescent="0.2">
      <c r="A307" t="s">
        <v>18</v>
      </c>
      <c r="B307" t="s">
        <v>19</v>
      </c>
      <c r="C307" t="s">
        <v>20</v>
      </c>
      <c r="D307">
        <v>1047</v>
      </c>
      <c r="E307" s="1">
        <v>44437</v>
      </c>
      <c r="F307" s="2">
        <v>28</v>
      </c>
      <c r="G307" s="2">
        <v>45</v>
      </c>
      <c r="H307" s="2">
        <v>0</v>
      </c>
      <c r="I307" s="2">
        <v>466</v>
      </c>
      <c r="J307" s="2">
        <v>74</v>
      </c>
      <c r="K307" s="2">
        <v>13</v>
      </c>
      <c r="L307" s="2">
        <v>179</v>
      </c>
      <c r="M307" s="2">
        <f>Tabela_dados_base[[#This Row],[Clicks pagos]]+Tabela_dados_base[[#This Row],[Clicks redes sociais]]</f>
        <v>74</v>
      </c>
      <c r="N307" s="5">
        <f>IFERROR(Tabela_dados_base[[#This Row],[Clicks pagos]]/Tabela_dados_base[[#This Row],[Total de Clicks]],"")</f>
        <v>0</v>
      </c>
      <c r="O307" s="5">
        <f>IFERROR(Tabela_dados_base[[#This Row],[Clicks redes sociais]]/Tabela_dados_base[[#This Row],[Total de Clicks]],"")</f>
        <v>1</v>
      </c>
      <c r="P307" s="6">
        <f>Tabela_dados_base[[#This Row],[Total de Clicks]]/Tabela_dados_base[[#This Row],[Visualizações]]</f>
        <v>0.41340782122905029</v>
      </c>
      <c r="Q307" s="5">
        <f>Tabela_dados_base[[#This Row],[Vezes pesquisados]]/Tabela_dados_base[[#This Row],[Visualizações]]</f>
        <v>7.2625698324022353E-2</v>
      </c>
      <c r="R307" s="5">
        <f>Tabela_dados_base[[#This Row],[Visitas Diretas]]/Tabela_dados_base[[#This Row],[Visualizações]]</f>
        <v>0.15642458100558659</v>
      </c>
    </row>
    <row r="308" spans="1:18" x14ac:dyDescent="0.2">
      <c r="A308" t="s">
        <v>18</v>
      </c>
      <c r="B308" t="s">
        <v>19</v>
      </c>
      <c r="C308" t="s">
        <v>20</v>
      </c>
      <c r="D308">
        <v>1047</v>
      </c>
      <c r="E308" s="1">
        <v>44439</v>
      </c>
      <c r="F308" s="2">
        <v>132</v>
      </c>
      <c r="G308" s="2">
        <v>211</v>
      </c>
      <c r="H308" s="2">
        <v>0</v>
      </c>
      <c r="I308" s="2">
        <v>2474</v>
      </c>
      <c r="J308" s="2">
        <v>343</v>
      </c>
      <c r="K308" s="2">
        <v>59</v>
      </c>
      <c r="L308" s="2">
        <v>682</v>
      </c>
      <c r="M308" s="2">
        <f>Tabela_dados_base[[#This Row],[Clicks pagos]]+Tabela_dados_base[[#This Row],[Clicks redes sociais]]</f>
        <v>343</v>
      </c>
      <c r="N308" s="5">
        <f>IFERROR(Tabela_dados_base[[#This Row],[Clicks pagos]]/Tabela_dados_base[[#This Row],[Total de Clicks]],"")</f>
        <v>0</v>
      </c>
      <c r="O308" s="5">
        <f>IFERROR(Tabela_dados_base[[#This Row],[Clicks redes sociais]]/Tabela_dados_base[[#This Row],[Total de Clicks]],"")</f>
        <v>1</v>
      </c>
      <c r="P308" s="6">
        <f>Tabela_dados_base[[#This Row],[Total de Clicks]]/Tabela_dados_base[[#This Row],[Visualizações]]</f>
        <v>0.50293255131964809</v>
      </c>
      <c r="Q308" s="5">
        <f>Tabela_dados_base[[#This Row],[Vezes pesquisados]]/Tabela_dados_base[[#This Row],[Visualizações]]</f>
        <v>8.6510263929618775E-2</v>
      </c>
      <c r="R308" s="5">
        <f>Tabela_dados_base[[#This Row],[Visitas Diretas]]/Tabela_dados_base[[#This Row],[Visualizações]]</f>
        <v>0.19354838709677419</v>
      </c>
    </row>
    <row r="309" spans="1:18" x14ac:dyDescent="0.2">
      <c r="A309" t="s">
        <v>18</v>
      </c>
      <c r="B309" t="s">
        <v>19</v>
      </c>
      <c r="C309" t="s">
        <v>20</v>
      </c>
      <c r="D309">
        <v>1047</v>
      </c>
      <c r="E309" s="1">
        <v>44440</v>
      </c>
      <c r="F309" s="2">
        <v>24</v>
      </c>
      <c r="G309" s="2">
        <v>38</v>
      </c>
      <c r="H309" s="2">
        <v>0</v>
      </c>
      <c r="I309" s="2">
        <v>239</v>
      </c>
      <c r="J309" s="2">
        <v>61</v>
      </c>
      <c r="K309" s="2">
        <v>11</v>
      </c>
      <c r="L309" s="2">
        <v>152</v>
      </c>
      <c r="M309" s="2">
        <f>Tabela_dados_base[[#This Row],[Clicks pagos]]+Tabela_dados_base[[#This Row],[Clicks redes sociais]]</f>
        <v>61</v>
      </c>
      <c r="N309" s="5">
        <f>IFERROR(Tabela_dados_base[[#This Row],[Clicks pagos]]/Tabela_dados_base[[#This Row],[Total de Clicks]],"")</f>
        <v>0</v>
      </c>
      <c r="O309" s="5">
        <f>IFERROR(Tabela_dados_base[[#This Row],[Clicks redes sociais]]/Tabela_dados_base[[#This Row],[Total de Clicks]],"")</f>
        <v>1</v>
      </c>
      <c r="P309" s="6">
        <f>Tabela_dados_base[[#This Row],[Total de Clicks]]/Tabela_dados_base[[#This Row],[Visualizações]]</f>
        <v>0.40131578947368424</v>
      </c>
      <c r="Q309" s="5">
        <f>Tabela_dados_base[[#This Row],[Vezes pesquisados]]/Tabela_dados_base[[#This Row],[Visualizações]]</f>
        <v>7.2368421052631582E-2</v>
      </c>
      <c r="R309" s="5">
        <f>Tabela_dados_base[[#This Row],[Visitas Diretas]]/Tabela_dados_base[[#This Row],[Visualizações]]</f>
        <v>0.15789473684210525</v>
      </c>
    </row>
    <row r="310" spans="1:18" x14ac:dyDescent="0.2">
      <c r="A310" t="s">
        <v>18</v>
      </c>
      <c r="B310" t="s">
        <v>19</v>
      </c>
      <c r="C310" t="s">
        <v>20</v>
      </c>
      <c r="D310">
        <v>1047</v>
      </c>
      <c r="E310" s="1">
        <v>44441</v>
      </c>
      <c r="F310" s="2">
        <v>6</v>
      </c>
      <c r="G310" s="2">
        <v>10</v>
      </c>
      <c r="H310" s="2">
        <v>0</v>
      </c>
      <c r="I310" s="2">
        <v>131</v>
      </c>
      <c r="J310" s="2">
        <v>16</v>
      </c>
      <c r="K310" s="2">
        <v>3</v>
      </c>
      <c r="L310" s="2">
        <v>42</v>
      </c>
      <c r="M310" s="2">
        <f>Tabela_dados_base[[#This Row],[Clicks pagos]]+Tabela_dados_base[[#This Row],[Clicks redes sociais]]</f>
        <v>16</v>
      </c>
      <c r="N310" s="5">
        <f>IFERROR(Tabela_dados_base[[#This Row],[Clicks pagos]]/Tabela_dados_base[[#This Row],[Total de Clicks]],"")</f>
        <v>0</v>
      </c>
      <c r="O310" s="5">
        <f>IFERROR(Tabela_dados_base[[#This Row],[Clicks redes sociais]]/Tabela_dados_base[[#This Row],[Total de Clicks]],"")</f>
        <v>1</v>
      </c>
      <c r="P310" s="6">
        <f>Tabela_dados_base[[#This Row],[Total de Clicks]]/Tabela_dados_base[[#This Row],[Visualizações]]</f>
        <v>0.38095238095238093</v>
      </c>
      <c r="Q310" s="5">
        <f>Tabela_dados_base[[#This Row],[Vezes pesquisados]]/Tabela_dados_base[[#This Row],[Visualizações]]</f>
        <v>7.1428571428571425E-2</v>
      </c>
      <c r="R310" s="5">
        <f>Tabela_dados_base[[#This Row],[Visitas Diretas]]/Tabela_dados_base[[#This Row],[Visualizações]]</f>
        <v>0.14285714285714285</v>
      </c>
    </row>
    <row r="311" spans="1:18" x14ac:dyDescent="0.2">
      <c r="A311" t="s">
        <v>18</v>
      </c>
      <c r="B311" t="s">
        <v>19</v>
      </c>
      <c r="C311" t="s">
        <v>20</v>
      </c>
      <c r="D311">
        <v>1047</v>
      </c>
      <c r="E311" s="1">
        <v>44442</v>
      </c>
      <c r="F311" s="2">
        <v>76</v>
      </c>
      <c r="G311" s="2">
        <v>121</v>
      </c>
      <c r="H311" s="2">
        <v>0</v>
      </c>
      <c r="I311" s="2">
        <v>841</v>
      </c>
      <c r="J311" s="2">
        <v>197</v>
      </c>
      <c r="K311" s="2">
        <v>34</v>
      </c>
      <c r="L311" s="2">
        <v>378</v>
      </c>
      <c r="M311" s="2">
        <f>Tabela_dados_base[[#This Row],[Clicks pagos]]+Tabela_dados_base[[#This Row],[Clicks redes sociais]]</f>
        <v>197</v>
      </c>
      <c r="N311" s="5">
        <f>IFERROR(Tabela_dados_base[[#This Row],[Clicks pagos]]/Tabela_dados_base[[#This Row],[Total de Clicks]],"")</f>
        <v>0</v>
      </c>
      <c r="O311" s="5">
        <f>IFERROR(Tabela_dados_base[[#This Row],[Clicks redes sociais]]/Tabela_dados_base[[#This Row],[Total de Clicks]],"")</f>
        <v>1</v>
      </c>
      <c r="P311" s="6">
        <f>Tabela_dados_base[[#This Row],[Total de Clicks]]/Tabela_dados_base[[#This Row],[Visualizações]]</f>
        <v>0.52116402116402116</v>
      </c>
      <c r="Q311" s="5">
        <f>Tabela_dados_base[[#This Row],[Vezes pesquisados]]/Tabela_dados_base[[#This Row],[Visualizações]]</f>
        <v>8.9947089947089942E-2</v>
      </c>
      <c r="R311" s="5">
        <f>Tabela_dados_base[[#This Row],[Visitas Diretas]]/Tabela_dados_base[[#This Row],[Visualizações]]</f>
        <v>0.20105820105820105</v>
      </c>
    </row>
    <row r="312" spans="1:18" x14ac:dyDescent="0.2">
      <c r="A312" t="s">
        <v>18</v>
      </c>
      <c r="B312" t="s">
        <v>19</v>
      </c>
      <c r="C312" t="s">
        <v>20</v>
      </c>
      <c r="D312">
        <v>1047</v>
      </c>
      <c r="E312" s="1">
        <v>44443</v>
      </c>
      <c r="F312" s="2">
        <v>12</v>
      </c>
      <c r="G312" s="2">
        <v>19</v>
      </c>
      <c r="H312" s="2">
        <v>0</v>
      </c>
      <c r="I312" s="2">
        <v>421</v>
      </c>
      <c r="J312" s="2">
        <v>30</v>
      </c>
      <c r="K312" s="2">
        <v>5</v>
      </c>
      <c r="L312" s="2">
        <v>117</v>
      </c>
      <c r="M312" s="2">
        <f>Tabela_dados_base[[#This Row],[Clicks pagos]]+Tabela_dados_base[[#This Row],[Clicks redes sociais]]</f>
        <v>30</v>
      </c>
      <c r="N312" s="5">
        <f>IFERROR(Tabela_dados_base[[#This Row],[Clicks pagos]]/Tabela_dados_base[[#This Row],[Total de Clicks]],"")</f>
        <v>0</v>
      </c>
      <c r="O312" s="5">
        <f>IFERROR(Tabela_dados_base[[#This Row],[Clicks redes sociais]]/Tabela_dados_base[[#This Row],[Total de Clicks]],"")</f>
        <v>1</v>
      </c>
      <c r="P312" s="6">
        <f>Tabela_dados_base[[#This Row],[Total de Clicks]]/Tabela_dados_base[[#This Row],[Visualizações]]</f>
        <v>0.25641025641025639</v>
      </c>
      <c r="Q312" s="5">
        <f>Tabela_dados_base[[#This Row],[Vezes pesquisados]]/Tabela_dados_base[[#This Row],[Visualizações]]</f>
        <v>4.2735042735042736E-2</v>
      </c>
      <c r="R312" s="5">
        <f>Tabela_dados_base[[#This Row],[Visitas Diretas]]/Tabela_dados_base[[#This Row],[Visualizações]]</f>
        <v>0.10256410256410256</v>
      </c>
    </row>
    <row r="313" spans="1:18" x14ac:dyDescent="0.2">
      <c r="A313" t="s">
        <v>18</v>
      </c>
      <c r="B313" t="s">
        <v>19</v>
      </c>
      <c r="C313" t="s">
        <v>20</v>
      </c>
      <c r="D313">
        <v>1047</v>
      </c>
      <c r="E313" s="1">
        <v>44444</v>
      </c>
      <c r="F313" s="2">
        <v>0</v>
      </c>
      <c r="G313" s="2">
        <v>0</v>
      </c>
      <c r="H313" s="2">
        <v>0</v>
      </c>
      <c r="I313" s="2">
        <v>250</v>
      </c>
      <c r="J313" s="2">
        <v>0</v>
      </c>
      <c r="K313" s="2">
        <v>0</v>
      </c>
      <c r="L313" s="2">
        <v>75</v>
      </c>
      <c r="M313" s="2">
        <f>Tabela_dados_base[[#This Row],[Clicks pagos]]+Tabela_dados_base[[#This Row],[Clicks redes sociais]]</f>
        <v>0</v>
      </c>
      <c r="N313" s="5" t="str">
        <f>IFERROR(Tabela_dados_base[[#This Row],[Clicks pagos]]/Tabela_dados_base[[#This Row],[Total de Clicks]],"")</f>
        <v/>
      </c>
      <c r="O313" s="5" t="str">
        <f>IFERROR(Tabela_dados_base[[#This Row],[Clicks redes sociais]]/Tabela_dados_base[[#This Row],[Total de Clicks]],"")</f>
        <v/>
      </c>
      <c r="P313" s="6">
        <f>Tabela_dados_base[[#This Row],[Total de Clicks]]/Tabela_dados_base[[#This Row],[Visualizações]]</f>
        <v>0</v>
      </c>
      <c r="Q313" s="5">
        <f>Tabela_dados_base[[#This Row],[Vezes pesquisados]]/Tabela_dados_base[[#This Row],[Visualizações]]</f>
        <v>0</v>
      </c>
      <c r="R313" s="5">
        <f>Tabela_dados_base[[#This Row],[Visitas Diretas]]/Tabela_dados_base[[#This Row],[Visualizações]]</f>
        <v>0</v>
      </c>
    </row>
    <row r="314" spans="1:18" x14ac:dyDescent="0.2">
      <c r="A314" t="s">
        <v>18</v>
      </c>
      <c r="B314" t="s">
        <v>19</v>
      </c>
      <c r="C314" t="s">
        <v>20</v>
      </c>
      <c r="D314">
        <v>1047</v>
      </c>
      <c r="E314" s="1">
        <v>44445</v>
      </c>
      <c r="F314" s="2">
        <v>36</v>
      </c>
      <c r="G314" s="2">
        <v>58</v>
      </c>
      <c r="H314" s="2">
        <v>0</v>
      </c>
      <c r="I314" s="2">
        <v>294</v>
      </c>
      <c r="J314" s="2">
        <v>95</v>
      </c>
      <c r="K314" s="2">
        <v>16</v>
      </c>
      <c r="L314" s="2">
        <v>260</v>
      </c>
      <c r="M314" s="2">
        <f>Tabela_dados_base[[#This Row],[Clicks pagos]]+Tabela_dados_base[[#This Row],[Clicks redes sociais]]</f>
        <v>95</v>
      </c>
      <c r="N314" s="5">
        <f>IFERROR(Tabela_dados_base[[#This Row],[Clicks pagos]]/Tabela_dados_base[[#This Row],[Total de Clicks]],"")</f>
        <v>0</v>
      </c>
      <c r="O314" s="5">
        <f>IFERROR(Tabela_dados_base[[#This Row],[Clicks redes sociais]]/Tabela_dados_base[[#This Row],[Total de Clicks]],"")</f>
        <v>1</v>
      </c>
      <c r="P314" s="6">
        <f>Tabela_dados_base[[#This Row],[Total de Clicks]]/Tabela_dados_base[[#This Row],[Visualizações]]</f>
        <v>0.36538461538461536</v>
      </c>
      <c r="Q314" s="5">
        <f>Tabela_dados_base[[#This Row],[Vezes pesquisados]]/Tabela_dados_base[[#This Row],[Visualizações]]</f>
        <v>6.1538461538461542E-2</v>
      </c>
      <c r="R314" s="5">
        <f>Tabela_dados_base[[#This Row],[Visitas Diretas]]/Tabela_dados_base[[#This Row],[Visualizações]]</f>
        <v>0.13846153846153847</v>
      </c>
    </row>
    <row r="315" spans="1:18" x14ac:dyDescent="0.2">
      <c r="A315" t="s">
        <v>18</v>
      </c>
      <c r="B315" t="s">
        <v>19</v>
      </c>
      <c r="C315" t="s">
        <v>20</v>
      </c>
      <c r="D315">
        <v>1047</v>
      </c>
      <c r="E315" s="1">
        <v>44446</v>
      </c>
      <c r="F315" s="2">
        <v>13</v>
      </c>
      <c r="G315" s="2">
        <v>20</v>
      </c>
      <c r="H315" s="2">
        <v>0</v>
      </c>
      <c r="I315" s="2">
        <v>315</v>
      </c>
      <c r="J315" s="2">
        <v>33</v>
      </c>
      <c r="K315" s="2">
        <v>6</v>
      </c>
      <c r="L315" s="2">
        <v>104</v>
      </c>
      <c r="M315" s="2">
        <f>Tabela_dados_base[[#This Row],[Clicks pagos]]+Tabela_dados_base[[#This Row],[Clicks redes sociais]]</f>
        <v>33</v>
      </c>
      <c r="N315" s="5">
        <f>IFERROR(Tabela_dados_base[[#This Row],[Clicks pagos]]/Tabela_dados_base[[#This Row],[Total de Clicks]],"")</f>
        <v>0</v>
      </c>
      <c r="O315" s="5">
        <f>IFERROR(Tabela_dados_base[[#This Row],[Clicks redes sociais]]/Tabela_dados_base[[#This Row],[Total de Clicks]],"")</f>
        <v>1</v>
      </c>
      <c r="P315" s="6">
        <f>Tabela_dados_base[[#This Row],[Total de Clicks]]/Tabela_dados_base[[#This Row],[Visualizações]]</f>
        <v>0.31730769230769229</v>
      </c>
      <c r="Q315" s="5">
        <f>Tabela_dados_base[[#This Row],[Vezes pesquisados]]/Tabela_dados_base[[#This Row],[Visualizações]]</f>
        <v>5.7692307692307696E-2</v>
      </c>
      <c r="R315" s="5">
        <f>Tabela_dados_base[[#This Row],[Visitas Diretas]]/Tabela_dados_base[[#This Row],[Visualizações]]</f>
        <v>0.125</v>
      </c>
    </row>
    <row r="316" spans="1:18" x14ac:dyDescent="0.2">
      <c r="A316" t="s">
        <v>18</v>
      </c>
      <c r="B316" t="s">
        <v>19</v>
      </c>
      <c r="C316" t="s">
        <v>20</v>
      </c>
      <c r="D316">
        <v>1047</v>
      </c>
      <c r="E316" s="1">
        <v>44449</v>
      </c>
      <c r="F316" s="2">
        <v>12</v>
      </c>
      <c r="G316" s="2">
        <v>20</v>
      </c>
      <c r="H316" s="2">
        <v>0</v>
      </c>
      <c r="I316" s="2">
        <v>200</v>
      </c>
      <c r="J316" s="2">
        <v>32</v>
      </c>
      <c r="K316" s="2">
        <v>6</v>
      </c>
      <c r="L316" s="2">
        <v>90</v>
      </c>
      <c r="M316" s="2">
        <f>Tabela_dados_base[[#This Row],[Clicks pagos]]+Tabela_dados_base[[#This Row],[Clicks redes sociais]]</f>
        <v>32</v>
      </c>
      <c r="N316" s="5">
        <f>IFERROR(Tabela_dados_base[[#This Row],[Clicks pagos]]/Tabela_dados_base[[#This Row],[Total de Clicks]],"")</f>
        <v>0</v>
      </c>
      <c r="O316" s="5">
        <f>IFERROR(Tabela_dados_base[[#This Row],[Clicks redes sociais]]/Tabela_dados_base[[#This Row],[Total de Clicks]],"")</f>
        <v>1</v>
      </c>
      <c r="P316" s="6">
        <f>Tabela_dados_base[[#This Row],[Total de Clicks]]/Tabela_dados_base[[#This Row],[Visualizações]]</f>
        <v>0.35555555555555557</v>
      </c>
      <c r="Q316" s="5">
        <f>Tabela_dados_base[[#This Row],[Vezes pesquisados]]/Tabela_dados_base[[#This Row],[Visualizações]]</f>
        <v>6.6666666666666666E-2</v>
      </c>
      <c r="R316" s="5">
        <f>Tabela_dados_base[[#This Row],[Visitas Diretas]]/Tabela_dados_base[[#This Row],[Visualizações]]</f>
        <v>0.13333333333333333</v>
      </c>
    </row>
    <row r="317" spans="1:18" x14ac:dyDescent="0.2">
      <c r="A317" t="s">
        <v>18</v>
      </c>
      <c r="B317" t="s">
        <v>19</v>
      </c>
      <c r="C317" t="s">
        <v>20</v>
      </c>
      <c r="D317">
        <v>1047</v>
      </c>
      <c r="E317" s="1">
        <v>44451</v>
      </c>
      <c r="F317" s="2">
        <v>56</v>
      </c>
      <c r="G317" s="2">
        <v>89</v>
      </c>
      <c r="H317" s="2">
        <v>0</v>
      </c>
      <c r="I317" s="2">
        <v>458</v>
      </c>
      <c r="J317" s="2">
        <v>145</v>
      </c>
      <c r="K317" s="2">
        <v>25</v>
      </c>
      <c r="L317" s="2">
        <v>373</v>
      </c>
      <c r="M317" s="2">
        <f>Tabela_dados_base[[#This Row],[Clicks pagos]]+Tabela_dados_base[[#This Row],[Clicks redes sociais]]</f>
        <v>145</v>
      </c>
      <c r="N317" s="5">
        <f>IFERROR(Tabela_dados_base[[#This Row],[Clicks pagos]]/Tabela_dados_base[[#This Row],[Total de Clicks]],"")</f>
        <v>0</v>
      </c>
      <c r="O317" s="5">
        <f>IFERROR(Tabela_dados_base[[#This Row],[Clicks redes sociais]]/Tabela_dados_base[[#This Row],[Total de Clicks]],"")</f>
        <v>1</v>
      </c>
      <c r="P317" s="6">
        <f>Tabela_dados_base[[#This Row],[Total de Clicks]]/Tabela_dados_base[[#This Row],[Visualizações]]</f>
        <v>0.38873994638069703</v>
      </c>
      <c r="Q317" s="5">
        <f>Tabela_dados_base[[#This Row],[Vezes pesquisados]]/Tabela_dados_base[[#This Row],[Visualizações]]</f>
        <v>6.7024128686327081E-2</v>
      </c>
      <c r="R317" s="5">
        <f>Tabela_dados_base[[#This Row],[Visitas Diretas]]/Tabela_dados_base[[#This Row],[Visualizações]]</f>
        <v>0.15013404825737264</v>
      </c>
    </row>
    <row r="318" spans="1:18" x14ac:dyDescent="0.2">
      <c r="A318" t="s">
        <v>18</v>
      </c>
      <c r="B318" t="s">
        <v>19</v>
      </c>
      <c r="C318" t="s">
        <v>20</v>
      </c>
      <c r="D318">
        <v>1047</v>
      </c>
      <c r="E318" s="1">
        <v>44452</v>
      </c>
      <c r="F318" s="2">
        <v>20</v>
      </c>
      <c r="G318" s="2">
        <v>31</v>
      </c>
      <c r="H318" s="2">
        <v>0</v>
      </c>
      <c r="I318" s="2">
        <v>540</v>
      </c>
      <c r="J318" s="2">
        <v>51</v>
      </c>
      <c r="K318" s="2">
        <v>9</v>
      </c>
      <c r="L318" s="2">
        <v>180</v>
      </c>
      <c r="M318" s="2">
        <f>Tabela_dados_base[[#This Row],[Clicks pagos]]+Tabela_dados_base[[#This Row],[Clicks redes sociais]]</f>
        <v>51</v>
      </c>
      <c r="N318" s="5">
        <f>IFERROR(Tabela_dados_base[[#This Row],[Clicks pagos]]/Tabela_dados_base[[#This Row],[Total de Clicks]],"")</f>
        <v>0</v>
      </c>
      <c r="O318" s="5">
        <f>IFERROR(Tabela_dados_base[[#This Row],[Clicks redes sociais]]/Tabela_dados_base[[#This Row],[Total de Clicks]],"")</f>
        <v>1</v>
      </c>
      <c r="P318" s="6">
        <f>Tabela_dados_base[[#This Row],[Total de Clicks]]/Tabela_dados_base[[#This Row],[Visualizações]]</f>
        <v>0.28333333333333333</v>
      </c>
      <c r="Q318" s="5">
        <f>Tabela_dados_base[[#This Row],[Vezes pesquisados]]/Tabela_dados_base[[#This Row],[Visualizações]]</f>
        <v>0.05</v>
      </c>
      <c r="R318" s="5">
        <f>Tabela_dados_base[[#This Row],[Visitas Diretas]]/Tabela_dados_base[[#This Row],[Visualizações]]</f>
        <v>0.1111111111111111</v>
      </c>
    </row>
    <row r="319" spans="1:18" x14ac:dyDescent="0.2">
      <c r="A319" t="s">
        <v>18</v>
      </c>
      <c r="B319" t="s">
        <v>19</v>
      </c>
      <c r="C319" t="s">
        <v>20</v>
      </c>
      <c r="D319">
        <v>1047</v>
      </c>
      <c r="E319" s="1">
        <v>44455</v>
      </c>
      <c r="F319" s="2">
        <v>3</v>
      </c>
      <c r="G319" s="2">
        <v>4</v>
      </c>
      <c r="H319" s="2">
        <v>0</v>
      </c>
      <c r="I319" s="2">
        <v>42</v>
      </c>
      <c r="J319" s="2">
        <v>7</v>
      </c>
      <c r="K319" s="2">
        <v>1</v>
      </c>
      <c r="L319" s="2">
        <v>32</v>
      </c>
      <c r="M319" s="2">
        <f>Tabela_dados_base[[#This Row],[Clicks pagos]]+Tabela_dados_base[[#This Row],[Clicks redes sociais]]</f>
        <v>7</v>
      </c>
      <c r="N319" s="5">
        <f>IFERROR(Tabela_dados_base[[#This Row],[Clicks pagos]]/Tabela_dados_base[[#This Row],[Total de Clicks]],"")</f>
        <v>0</v>
      </c>
      <c r="O319" s="5">
        <f>IFERROR(Tabela_dados_base[[#This Row],[Clicks redes sociais]]/Tabela_dados_base[[#This Row],[Total de Clicks]],"")</f>
        <v>1</v>
      </c>
      <c r="P319" s="6">
        <f>Tabela_dados_base[[#This Row],[Total de Clicks]]/Tabela_dados_base[[#This Row],[Visualizações]]</f>
        <v>0.21875</v>
      </c>
      <c r="Q319" s="5">
        <f>Tabela_dados_base[[#This Row],[Vezes pesquisados]]/Tabela_dados_base[[#This Row],[Visualizações]]</f>
        <v>3.125E-2</v>
      </c>
      <c r="R319" s="5">
        <f>Tabela_dados_base[[#This Row],[Visitas Diretas]]/Tabela_dados_base[[#This Row],[Visualizações]]</f>
        <v>9.375E-2</v>
      </c>
    </row>
    <row r="320" spans="1:18" x14ac:dyDescent="0.2">
      <c r="A320" t="s">
        <v>18</v>
      </c>
      <c r="B320" t="s">
        <v>19</v>
      </c>
      <c r="C320" t="s">
        <v>20</v>
      </c>
      <c r="D320">
        <v>1047</v>
      </c>
      <c r="E320" s="1">
        <v>44456</v>
      </c>
      <c r="F320" s="2">
        <v>92</v>
      </c>
      <c r="G320" s="2">
        <v>147</v>
      </c>
      <c r="H320" s="2">
        <v>0</v>
      </c>
      <c r="I320" s="2">
        <v>1493</v>
      </c>
      <c r="J320" s="2">
        <v>239</v>
      </c>
      <c r="K320" s="2">
        <v>41</v>
      </c>
      <c r="L320" s="2">
        <v>519</v>
      </c>
      <c r="M320" s="2">
        <f>Tabela_dados_base[[#This Row],[Clicks pagos]]+Tabela_dados_base[[#This Row],[Clicks redes sociais]]</f>
        <v>239</v>
      </c>
      <c r="N320" s="5">
        <f>IFERROR(Tabela_dados_base[[#This Row],[Clicks pagos]]/Tabela_dados_base[[#This Row],[Total de Clicks]],"")</f>
        <v>0</v>
      </c>
      <c r="O320" s="5">
        <f>IFERROR(Tabela_dados_base[[#This Row],[Clicks redes sociais]]/Tabela_dados_base[[#This Row],[Total de Clicks]],"")</f>
        <v>1</v>
      </c>
      <c r="P320" s="6">
        <f>Tabela_dados_base[[#This Row],[Total de Clicks]]/Tabela_dados_base[[#This Row],[Visualizações]]</f>
        <v>0.46050096339113678</v>
      </c>
      <c r="Q320" s="5">
        <f>Tabela_dados_base[[#This Row],[Vezes pesquisados]]/Tabela_dados_base[[#This Row],[Visualizações]]</f>
        <v>7.8998073217726394E-2</v>
      </c>
      <c r="R320" s="5">
        <f>Tabela_dados_base[[#This Row],[Visitas Diretas]]/Tabela_dados_base[[#This Row],[Visualizações]]</f>
        <v>0.17726396917148363</v>
      </c>
    </row>
    <row r="321" spans="1:18" x14ac:dyDescent="0.2">
      <c r="A321" t="s">
        <v>18</v>
      </c>
      <c r="B321" t="s">
        <v>19</v>
      </c>
      <c r="C321" t="s">
        <v>20</v>
      </c>
      <c r="D321">
        <v>1047</v>
      </c>
      <c r="E321" s="1">
        <v>44457</v>
      </c>
      <c r="F321" s="2">
        <v>6</v>
      </c>
      <c r="G321" s="2">
        <v>10</v>
      </c>
      <c r="H321" s="2">
        <v>0</v>
      </c>
      <c r="I321" s="2">
        <v>98</v>
      </c>
      <c r="J321" s="2">
        <v>16</v>
      </c>
      <c r="K321" s="2">
        <v>3</v>
      </c>
      <c r="L321" s="2">
        <v>46</v>
      </c>
      <c r="M321" s="2">
        <f>Tabela_dados_base[[#This Row],[Clicks pagos]]+Tabela_dados_base[[#This Row],[Clicks redes sociais]]</f>
        <v>16</v>
      </c>
      <c r="N321" s="5">
        <f>IFERROR(Tabela_dados_base[[#This Row],[Clicks pagos]]/Tabela_dados_base[[#This Row],[Total de Clicks]],"")</f>
        <v>0</v>
      </c>
      <c r="O321" s="5">
        <f>IFERROR(Tabela_dados_base[[#This Row],[Clicks redes sociais]]/Tabela_dados_base[[#This Row],[Total de Clicks]],"")</f>
        <v>1</v>
      </c>
      <c r="P321" s="6">
        <f>Tabela_dados_base[[#This Row],[Total de Clicks]]/Tabela_dados_base[[#This Row],[Visualizações]]</f>
        <v>0.34782608695652173</v>
      </c>
      <c r="Q321" s="5">
        <f>Tabela_dados_base[[#This Row],[Vezes pesquisados]]/Tabela_dados_base[[#This Row],[Visualizações]]</f>
        <v>6.5217391304347824E-2</v>
      </c>
      <c r="R321" s="5">
        <f>Tabela_dados_base[[#This Row],[Visitas Diretas]]/Tabela_dados_base[[#This Row],[Visualizações]]</f>
        <v>0.13043478260869565</v>
      </c>
    </row>
    <row r="322" spans="1:18" x14ac:dyDescent="0.2">
      <c r="A322" t="s">
        <v>18</v>
      </c>
      <c r="B322" t="s">
        <v>19</v>
      </c>
      <c r="C322" t="s">
        <v>20</v>
      </c>
      <c r="D322">
        <v>1047</v>
      </c>
      <c r="E322" s="1">
        <v>44459</v>
      </c>
      <c r="F322" s="2">
        <v>0</v>
      </c>
      <c r="G322" s="2">
        <v>0</v>
      </c>
      <c r="H322" s="2">
        <v>0</v>
      </c>
      <c r="I322" s="2">
        <v>15</v>
      </c>
      <c r="J322" s="2">
        <v>0</v>
      </c>
      <c r="K322" s="2">
        <v>0</v>
      </c>
      <c r="L322" s="2">
        <v>11</v>
      </c>
      <c r="M322" s="2">
        <f>Tabela_dados_base[[#This Row],[Clicks pagos]]+Tabela_dados_base[[#This Row],[Clicks redes sociais]]</f>
        <v>0</v>
      </c>
      <c r="N322" s="5" t="str">
        <f>IFERROR(Tabela_dados_base[[#This Row],[Clicks pagos]]/Tabela_dados_base[[#This Row],[Total de Clicks]],"")</f>
        <v/>
      </c>
      <c r="O322" s="5" t="str">
        <f>IFERROR(Tabela_dados_base[[#This Row],[Clicks redes sociais]]/Tabela_dados_base[[#This Row],[Total de Clicks]],"")</f>
        <v/>
      </c>
      <c r="P322" s="6">
        <f>Tabela_dados_base[[#This Row],[Total de Clicks]]/Tabela_dados_base[[#This Row],[Visualizações]]</f>
        <v>0</v>
      </c>
      <c r="Q322" s="5">
        <f>Tabela_dados_base[[#This Row],[Vezes pesquisados]]/Tabela_dados_base[[#This Row],[Visualizações]]</f>
        <v>0</v>
      </c>
      <c r="R322" s="5">
        <f>Tabela_dados_base[[#This Row],[Visitas Diretas]]/Tabela_dados_base[[#This Row],[Visualizações]]</f>
        <v>0</v>
      </c>
    </row>
    <row r="323" spans="1:18" x14ac:dyDescent="0.2">
      <c r="A323" t="s">
        <v>18</v>
      </c>
      <c r="B323" t="s">
        <v>19</v>
      </c>
      <c r="C323" t="s">
        <v>20</v>
      </c>
      <c r="D323">
        <v>1047</v>
      </c>
      <c r="E323" s="1">
        <v>44462</v>
      </c>
      <c r="F323" s="2">
        <v>12</v>
      </c>
      <c r="G323" s="2">
        <v>19</v>
      </c>
      <c r="H323" s="2">
        <v>0</v>
      </c>
      <c r="I323" s="2">
        <v>191</v>
      </c>
      <c r="J323" s="2">
        <v>31</v>
      </c>
      <c r="K323" s="2">
        <v>5</v>
      </c>
      <c r="L323" s="2">
        <v>67</v>
      </c>
      <c r="M323" s="2">
        <f>Tabela_dados_base[[#This Row],[Clicks pagos]]+Tabela_dados_base[[#This Row],[Clicks redes sociais]]</f>
        <v>31</v>
      </c>
      <c r="N323" s="5">
        <f>IFERROR(Tabela_dados_base[[#This Row],[Clicks pagos]]/Tabela_dados_base[[#This Row],[Total de Clicks]],"")</f>
        <v>0</v>
      </c>
      <c r="O323" s="5">
        <f>IFERROR(Tabela_dados_base[[#This Row],[Clicks redes sociais]]/Tabela_dados_base[[#This Row],[Total de Clicks]],"")</f>
        <v>1</v>
      </c>
      <c r="P323" s="6">
        <f>Tabela_dados_base[[#This Row],[Total de Clicks]]/Tabela_dados_base[[#This Row],[Visualizações]]</f>
        <v>0.46268656716417911</v>
      </c>
      <c r="Q323" s="5">
        <f>Tabela_dados_base[[#This Row],[Vezes pesquisados]]/Tabela_dados_base[[#This Row],[Visualizações]]</f>
        <v>7.4626865671641784E-2</v>
      </c>
      <c r="R323" s="5">
        <f>Tabela_dados_base[[#This Row],[Visitas Diretas]]/Tabela_dados_base[[#This Row],[Visualizações]]</f>
        <v>0.17910447761194029</v>
      </c>
    </row>
    <row r="324" spans="1:18" x14ac:dyDescent="0.2">
      <c r="A324" t="s">
        <v>18</v>
      </c>
      <c r="B324" t="s">
        <v>19</v>
      </c>
      <c r="C324" t="s">
        <v>20</v>
      </c>
      <c r="D324">
        <v>1047</v>
      </c>
      <c r="E324" s="1">
        <v>44463</v>
      </c>
      <c r="F324" s="2">
        <v>6</v>
      </c>
      <c r="G324" s="2">
        <v>9</v>
      </c>
      <c r="H324" s="2">
        <v>0</v>
      </c>
      <c r="I324" s="2">
        <v>146</v>
      </c>
      <c r="J324" s="2">
        <v>15</v>
      </c>
      <c r="K324" s="2">
        <v>3</v>
      </c>
      <c r="L324" s="2">
        <v>73</v>
      </c>
      <c r="M324" s="2">
        <f>Tabela_dados_base[[#This Row],[Clicks pagos]]+Tabela_dados_base[[#This Row],[Clicks redes sociais]]</f>
        <v>15</v>
      </c>
      <c r="N324" s="5">
        <f>IFERROR(Tabela_dados_base[[#This Row],[Clicks pagos]]/Tabela_dados_base[[#This Row],[Total de Clicks]],"")</f>
        <v>0</v>
      </c>
      <c r="O324" s="5">
        <f>IFERROR(Tabela_dados_base[[#This Row],[Clicks redes sociais]]/Tabela_dados_base[[#This Row],[Total de Clicks]],"")</f>
        <v>1</v>
      </c>
      <c r="P324" s="6">
        <f>Tabela_dados_base[[#This Row],[Total de Clicks]]/Tabela_dados_base[[#This Row],[Visualizações]]</f>
        <v>0.20547945205479451</v>
      </c>
      <c r="Q324" s="5">
        <f>Tabela_dados_base[[#This Row],[Vezes pesquisados]]/Tabela_dados_base[[#This Row],[Visualizações]]</f>
        <v>4.1095890410958902E-2</v>
      </c>
      <c r="R324" s="5">
        <f>Tabela_dados_base[[#This Row],[Visitas Diretas]]/Tabela_dados_base[[#This Row],[Visualizações]]</f>
        <v>8.2191780821917804E-2</v>
      </c>
    </row>
    <row r="325" spans="1:18" x14ac:dyDescent="0.2">
      <c r="A325" t="s">
        <v>18</v>
      </c>
      <c r="B325" t="s">
        <v>19</v>
      </c>
      <c r="C325" t="s">
        <v>20</v>
      </c>
      <c r="D325">
        <v>1047</v>
      </c>
      <c r="E325" s="1">
        <v>44467</v>
      </c>
      <c r="F325" s="2">
        <v>0</v>
      </c>
      <c r="G325" s="2">
        <v>0</v>
      </c>
      <c r="H325" s="2">
        <v>0</v>
      </c>
      <c r="I325" s="2">
        <v>62</v>
      </c>
      <c r="J325" s="2">
        <v>0</v>
      </c>
      <c r="K325" s="2">
        <v>0</v>
      </c>
      <c r="L325" s="2">
        <v>18</v>
      </c>
      <c r="M325" s="2">
        <f>Tabela_dados_base[[#This Row],[Clicks pagos]]+Tabela_dados_base[[#This Row],[Clicks redes sociais]]</f>
        <v>0</v>
      </c>
      <c r="N325" s="5" t="str">
        <f>IFERROR(Tabela_dados_base[[#This Row],[Clicks pagos]]/Tabela_dados_base[[#This Row],[Total de Clicks]],"")</f>
        <v/>
      </c>
      <c r="O325" s="5" t="str">
        <f>IFERROR(Tabela_dados_base[[#This Row],[Clicks redes sociais]]/Tabela_dados_base[[#This Row],[Total de Clicks]],"")</f>
        <v/>
      </c>
      <c r="P325" s="6">
        <f>Tabela_dados_base[[#This Row],[Total de Clicks]]/Tabela_dados_base[[#This Row],[Visualizações]]</f>
        <v>0</v>
      </c>
      <c r="Q325" s="5">
        <f>Tabela_dados_base[[#This Row],[Vezes pesquisados]]/Tabela_dados_base[[#This Row],[Visualizações]]</f>
        <v>0</v>
      </c>
      <c r="R325" s="5">
        <f>Tabela_dados_base[[#This Row],[Visitas Diretas]]/Tabela_dados_base[[#This Row],[Visualizações]]</f>
        <v>0</v>
      </c>
    </row>
    <row r="326" spans="1:18" x14ac:dyDescent="0.2">
      <c r="A326" t="s">
        <v>18</v>
      </c>
      <c r="B326" t="s">
        <v>19</v>
      </c>
      <c r="C326" t="s">
        <v>20</v>
      </c>
      <c r="D326">
        <v>1047</v>
      </c>
      <c r="E326" s="1">
        <v>44469</v>
      </c>
      <c r="F326" s="2">
        <v>50</v>
      </c>
      <c r="G326" s="2">
        <v>81</v>
      </c>
      <c r="H326" s="2">
        <v>0</v>
      </c>
      <c r="I326" s="2">
        <v>1009</v>
      </c>
      <c r="J326" s="2">
        <v>131</v>
      </c>
      <c r="K326" s="2">
        <v>23</v>
      </c>
      <c r="L326" s="2">
        <v>297</v>
      </c>
      <c r="M326" s="2">
        <f>Tabela_dados_base[[#This Row],[Clicks pagos]]+Tabela_dados_base[[#This Row],[Clicks redes sociais]]</f>
        <v>131</v>
      </c>
      <c r="N326" s="5">
        <f>IFERROR(Tabela_dados_base[[#This Row],[Clicks pagos]]/Tabela_dados_base[[#This Row],[Total de Clicks]],"")</f>
        <v>0</v>
      </c>
      <c r="O326" s="5">
        <f>IFERROR(Tabela_dados_base[[#This Row],[Clicks redes sociais]]/Tabela_dados_base[[#This Row],[Total de Clicks]],"")</f>
        <v>1</v>
      </c>
      <c r="P326" s="6">
        <f>Tabela_dados_base[[#This Row],[Total de Clicks]]/Tabela_dados_base[[#This Row],[Visualizações]]</f>
        <v>0.44107744107744107</v>
      </c>
      <c r="Q326" s="5">
        <f>Tabela_dados_base[[#This Row],[Vezes pesquisados]]/Tabela_dados_base[[#This Row],[Visualizações]]</f>
        <v>7.7441077441077436E-2</v>
      </c>
      <c r="R326" s="5">
        <f>Tabela_dados_base[[#This Row],[Visitas Diretas]]/Tabela_dados_base[[#This Row],[Visualizações]]</f>
        <v>0.16835016835016836</v>
      </c>
    </row>
    <row r="327" spans="1:18" x14ac:dyDescent="0.2">
      <c r="A327" t="s">
        <v>18</v>
      </c>
      <c r="B327" t="s">
        <v>19</v>
      </c>
      <c r="C327" t="s">
        <v>20</v>
      </c>
      <c r="D327">
        <v>1047</v>
      </c>
      <c r="E327" s="1">
        <v>44470</v>
      </c>
      <c r="F327" s="2">
        <v>49</v>
      </c>
      <c r="G327" s="2">
        <v>78</v>
      </c>
      <c r="H327" s="2">
        <v>0</v>
      </c>
      <c r="I327" s="2">
        <v>1138</v>
      </c>
      <c r="J327" s="2">
        <v>126</v>
      </c>
      <c r="K327" s="2">
        <v>22</v>
      </c>
      <c r="L327" s="2">
        <v>324</v>
      </c>
      <c r="M327" s="2">
        <f>Tabela_dados_base[[#This Row],[Clicks pagos]]+Tabela_dados_base[[#This Row],[Clicks redes sociais]]</f>
        <v>126</v>
      </c>
      <c r="N327" s="5">
        <f>IFERROR(Tabela_dados_base[[#This Row],[Clicks pagos]]/Tabela_dados_base[[#This Row],[Total de Clicks]],"")</f>
        <v>0</v>
      </c>
      <c r="O327" s="5">
        <f>IFERROR(Tabela_dados_base[[#This Row],[Clicks redes sociais]]/Tabela_dados_base[[#This Row],[Total de Clicks]],"")</f>
        <v>1</v>
      </c>
      <c r="P327" s="6">
        <f>Tabela_dados_base[[#This Row],[Total de Clicks]]/Tabela_dados_base[[#This Row],[Visualizações]]</f>
        <v>0.3888888888888889</v>
      </c>
      <c r="Q327" s="5">
        <f>Tabela_dados_base[[#This Row],[Vezes pesquisados]]/Tabela_dados_base[[#This Row],[Visualizações]]</f>
        <v>6.7901234567901231E-2</v>
      </c>
      <c r="R327" s="5">
        <f>Tabela_dados_base[[#This Row],[Visitas Diretas]]/Tabela_dados_base[[#This Row],[Visualizações]]</f>
        <v>0.15123456790123457</v>
      </c>
    </row>
    <row r="328" spans="1:18" x14ac:dyDescent="0.2">
      <c r="A328" t="s">
        <v>18</v>
      </c>
      <c r="B328" t="s">
        <v>19</v>
      </c>
      <c r="C328" t="s">
        <v>20</v>
      </c>
      <c r="D328">
        <v>1047</v>
      </c>
      <c r="E328" s="1">
        <v>44472</v>
      </c>
      <c r="F328" s="2">
        <v>15</v>
      </c>
      <c r="G328" s="2">
        <v>23</v>
      </c>
      <c r="H328" s="2">
        <v>0</v>
      </c>
      <c r="I328" s="2">
        <v>180</v>
      </c>
      <c r="J328" s="2">
        <v>38</v>
      </c>
      <c r="K328" s="2">
        <v>7</v>
      </c>
      <c r="L328" s="2">
        <v>101</v>
      </c>
      <c r="M328" s="2">
        <f>Tabela_dados_base[[#This Row],[Clicks pagos]]+Tabela_dados_base[[#This Row],[Clicks redes sociais]]</f>
        <v>38</v>
      </c>
      <c r="N328" s="5">
        <f>IFERROR(Tabela_dados_base[[#This Row],[Clicks pagos]]/Tabela_dados_base[[#This Row],[Total de Clicks]],"")</f>
        <v>0</v>
      </c>
      <c r="O328" s="5">
        <f>IFERROR(Tabela_dados_base[[#This Row],[Clicks redes sociais]]/Tabela_dados_base[[#This Row],[Total de Clicks]],"")</f>
        <v>1</v>
      </c>
      <c r="P328" s="6">
        <f>Tabela_dados_base[[#This Row],[Total de Clicks]]/Tabela_dados_base[[#This Row],[Visualizações]]</f>
        <v>0.37623762376237624</v>
      </c>
      <c r="Q328" s="5">
        <f>Tabela_dados_base[[#This Row],[Vezes pesquisados]]/Tabela_dados_base[[#This Row],[Visualizações]]</f>
        <v>6.9306930693069313E-2</v>
      </c>
      <c r="R328" s="5">
        <f>Tabela_dados_base[[#This Row],[Visitas Diretas]]/Tabela_dados_base[[#This Row],[Visualizações]]</f>
        <v>0.14851485148514851</v>
      </c>
    </row>
    <row r="329" spans="1:18" x14ac:dyDescent="0.2">
      <c r="A329" t="s">
        <v>18</v>
      </c>
      <c r="B329" t="s">
        <v>19</v>
      </c>
      <c r="C329" t="s">
        <v>20</v>
      </c>
      <c r="D329">
        <v>1047</v>
      </c>
      <c r="E329" s="1">
        <v>44475</v>
      </c>
      <c r="F329" s="2">
        <v>29</v>
      </c>
      <c r="G329" s="2">
        <v>47</v>
      </c>
      <c r="H329" s="2">
        <v>0</v>
      </c>
      <c r="I329" s="2">
        <v>600</v>
      </c>
      <c r="J329" s="2">
        <v>76</v>
      </c>
      <c r="K329" s="2">
        <v>13</v>
      </c>
      <c r="L329" s="2">
        <v>164</v>
      </c>
      <c r="M329" s="2">
        <f>Tabela_dados_base[[#This Row],[Clicks pagos]]+Tabela_dados_base[[#This Row],[Clicks redes sociais]]</f>
        <v>76</v>
      </c>
      <c r="N329" s="5">
        <f>IFERROR(Tabela_dados_base[[#This Row],[Clicks pagos]]/Tabela_dados_base[[#This Row],[Total de Clicks]],"")</f>
        <v>0</v>
      </c>
      <c r="O329" s="5">
        <f>IFERROR(Tabela_dados_base[[#This Row],[Clicks redes sociais]]/Tabela_dados_base[[#This Row],[Total de Clicks]],"")</f>
        <v>1</v>
      </c>
      <c r="P329" s="6">
        <f>Tabela_dados_base[[#This Row],[Total de Clicks]]/Tabela_dados_base[[#This Row],[Visualizações]]</f>
        <v>0.46341463414634149</v>
      </c>
      <c r="Q329" s="5">
        <f>Tabela_dados_base[[#This Row],[Vezes pesquisados]]/Tabela_dados_base[[#This Row],[Visualizações]]</f>
        <v>7.926829268292683E-2</v>
      </c>
      <c r="R329" s="5">
        <f>Tabela_dados_base[[#This Row],[Visitas Diretas]]/Tabela_dados_base[[#This Row],[Visualizações]]</f>
        <v>0.17682926829268292</v>
      </c>
    </row>
    <row r="330" spans="1:18" x14ac:dyDescent="0.2">
      <c r="A330" t="s">
        <v>18</v>
      </c>
      <c r="B330" t="s">
        <v>19</v>
      </c>
      <c r="C330" t="s">
        <v>20</v>
      </c>
      <c r="D330">
        <v>1047</v>
      </c>
      <c r="E330" s="1">
        <v>44478</v>
      </c>
      <c r="F330" s="2">
        <v>37</v>
      </c>
      <c r="G330" s="2">
        <v>59</v>
      </c>
      <c r="H330" s="2">
        <v>0</v>
      </c>
      <c r="I330" s="2">
        <v>323</v>
      </c>
      <c r="J330" s="2">
        <v>96</v>
      </c>
      <c r="K330" s="2">
        <v>17</v>
      </c>
      <c r="L330" s="2">
        <v>219</v>
      </c>
      <c r="M330" s="2">
        <f>Tabela_dados_base[[#This Row],[Clicks pagos]]+Tabela_dados_base[[#This Row],[Clicks redes sociais]]</f>
        <v>96</v>
      </c>
      <c r="N330" s="5">
        <f>IFERROR(Tabela_dados_base[[#This Row],[Clicks pagos]]/Tabela_dados_base[[#This Row],[Total de Clicks]],"")</f>
        <v>0</v>
      </c>
      <c r="O330" s="5">
        <f>IFERROR(Tabela_dados_base[[#This Row],[Clicks redes sociais]]/Tabela_dados_base[[#This Row],[Total de Clicks]],"")</f>
        <v>1</v>
      </c>
      <c r="P330" s="6">
        <f>Tabela_dados_base[[#This Row],[Total de Clicks]]/Tabela_dados_base[[#This Row],[Visualizações]]</f>
        <v>0.43835616438356162</v>
      </c>
      <c r="Q330" s="5">
        <f>Tabela_dados_base[[#This Row],[Vezes pesquisados]]/Tabela_dados_base[[#This Row],[Visualizações]]</f>
        <v>7.7625570776255703E-2</v>
      </c>
      <c r="R330" s="5">
        <f>Tabela_dados_base[[#This Row],[Visitas Diretas]]/Tabela_dados_base[[#This Row],[Visualizações]]</f>
        <v>0.16894977168949771</v>
      </c>
    </row>
    <row r="331" spans="1:18" x14ac:dyDescent="0.2">
      <c r="A331" t="s">
        <v>18</v>
      </c>
      <c r="B331" t="s">
        <v>19</v>
      </c>
      <c r="C331" t="s">
        <v>20</v>
      </c>
      <c r="D331">
        <v>1047</v>
      </c>
      <c r="E331" s="1">
        <v>44480</v>
      </c>
      <c r="F331" s="2">
        <v>34</v>
      </c>
      <c r="G331" s="2">
        <v>55</v>
      </c>
      <c r="H331" s="2">
        <v>0</v>
      </c>
      <c r="I331" s="2">
        <v>533</v>
      </c>
      <c r="J331" s="2">
        <v>89</v>
      </c>
      <c r="K331" s="2">
        <v>15</v>
      </c>
      <c r="L331" s="2">
        <v>272</v>
      </c>
      <c r="M331" s="2">
        <f>Tabela_dados_base[[#This Row],[Clicks pagos]]+Tabela_dados_base[[#This Row],[Clicks redes sociais]]</f>
        <v>89</v>
      </c>
      <c r="N331" s="5">
        <f>IFERROR(Tabela_dados_base[[#This Row],[Clicks pagos]]/Tabela_dados_base[[#This Row],[Total de Clicks]],"")</f>
        <v>0</v>
      </c>
      <c r="O331" s="5">
        <f>IFERROR(Tabela_dados_base[[#This Row],[Clicks redes sociais]]/Tabela_dados_base[[#This Row],[Total de Clicks]],"")</f>
        <v>1</v>
      </c>
      <c r="P331" s="6">
        <f>Tabela_dados_base[[#This Row],[Total de Clicks]]/Tabela_dados_base[[#This Row],[Visualizações]]</f>
        <v>0.32720588235294118</v>
      </c>
      <c r="Q331" s="5">
        <f>Tabela_dados_base[[#This Row],[Vezes pesquisados]]/Tabela_dados_base[[#This Row],[Visualizações]]</f>
        <v>5.514705882352941E-2</v>
      </c>
      <c r="R331" s="5">
        <f>Tabela_dados_base[[#This Row],[Visitas Diretas]]/Tabela_dados_base[[#This Row],[Visualizações]]</f>
        <v>0.125</v>
      </c>
    </row>
    <row r="332" spans="1:18" x14ac:dyDescent="0.2">
      <c r="A332" t="s">
        <v>18</v>
      </c>
      <c r="B332" t="s">
        <v>19</v>
      </c>
      <c r="C332" t="s">
        <v>20</v>
      </c>
      <c r="D332">
        <v>1047</v>
      </c>
      <c r="E332" s="1">
        <v>44481</v>
      </c>
      <c r="F332" s="2">
        <v>0</v>
      </c>
      <c r="G332" s="2">
        <v>0</v>
      </c>
      <c r="H332" s="2">
        <v>0</v>
      </c>
      <c r="I332" s="2">
        <v>164</v>
      </c>
      <c r="J332" s="2">
        <v>0</v>
      </c>
      <c r="K332" s="2">
        <v>0</v>
      </c>
      <c r="L332" s="2">
        <v>64</v>
      </c>
      <c r="M332" s="2">
        <f>Tabela_dados_base[[#This Row],[Clicks pagos]]+Tabela_dados_base[[#This Row],[Clicks redes sociais]]</f>
        <v>0</v>
      </c>
      <c r="N332" s="5" t="str">
        <f>IFERROR(Tabela_dados_base[[#This Row],[Clicks pagos]]/Tabela_dados_base[[#This Row],[Total de Clicks]],"")</f>
        <v/>
      </c>
      <c r="O332" s="5" t="str">
        <f>IFERROR(Tabela_dados_base[[#This Row],[Clicks redes sociais]]/Tabela_dados_base[[#This Row],[Total de Clicks]],"")</f>
        <v/>
      </c>
      <c r="P332" s="6">
        <f>Tabela_dados_base[[#This Row],[Total de Clicks]]/Tabela_dados_base[[#This Row],[Visualizações]]</f>
        <v>0</v>
      </c>
      <c r="Q332" s="5">
        <f>Tabela_dados_base[[#This Row],[Vezes pesquisados]]/Tabela_dados_base[[#This Row],[Visualizações]]</f>
        <v>0</v>
      </c>
      <c r="R332" s="5">
        <f>Tabela_dados_base[[#This Row],[Visitas Diretas]]/Tabela_dados_base[[#This Row],[Visualizações]]</f>
        <v>0</v>
      </c>
    </row>
    <row r="333" spans="1:18" x14ac:dyDescent="0.2">
      <c r="A333" t="s">
        <v>18</v>
      </c>
      <c r="B333" t="s">
        <v>19</v>
      </c>
      <c r="C333" t="s">
        <v>20</v>
      </c>
      <c r="D333">
        <v>1047</v>
      </c>
      <c r="E333" s="1">
        <v>44482</v>
      </c>
      <c r="F333" s="2">
        <v>10</v>
      </c>
      <c r="G333" s="2">
        <v>16</v>
      </c>
      <c r="H333" s="2">
        <v>0</v>
      </c>
      <c r="I333" s="2">
        <v>198</v>
      </c>
      <c r="J333" s="2">
        <v>27</v>
      </c>
      <c r="K333" s="2">
        <v>5</v>
      </c>
      <c r="L333" s="2">
        <v>82</v>
      </c>
      <c r="M333" s="2">
        <f>Tabela_dados_base[[#This Row],[Clicks pagos]]+Tabela_dados_base[[#This Row],[Clicks redes sociais]]</f>
        <v>27</v>
      </c>
      <c r="N333" s="5">
        <f>IFERROR(Tabela_dados_base[[#This Row],[Clicks pagos]]/Tabela_dados_base[[#This Row],[Total de Clicks]],"")</f>
        <v>0</v>
      </c>
      <c r="O333" s="5">
        <f>IFERROR(Tabela_dados_base[[#This Row],[Clicks redes sociais]]/Tabela_dados_base[[#This Row],[Total de Clicks]],"")</f>
        <v>1</v>
      </c>
      <c r="P333" s="6">
        <f>Tabela_dados_base[[#This Row],[Total de Clicks]]/Tabela_dados_base[[#This Row],[Visualizações]]</f>
        <v>0.32926829268292684</v>
      </c>
      <c r="Q333" s="5">
        <f>Tabela_dados_base[[#This Row],[Vezes pesquisados]]/Tabela_dados_base[[#This Row],[Visualizações]]</f>
        <v>6.097560975609756E-2</v>
      </c>
      <c r="R333" s="5">
        <f>Tabela_dados_base[[#This Row],[Visitas Diretas]]/Tabela_dados_base[[#This Row],[Visualizações]]</f>
        <v>0.12195121951219512</v>
      </c>
    </row>
    <row r="334" spans="1:18" x14ac:dyDescent="0.2">
      <c r="A334" t="s">
        <v>18</v>
      </c>
      <c r="B334" t="s">
        <v>19</v>
      </c>
      <c r="C334" t="s">
        <v>20</v>
      </c>
      <c r="D334">
        <v>1047</v>
      </c>
      <c r="E334" s="1">
        <v>44483</v>
      </c>
      <c r="F334" s="2">
        <v>117</v>
      </c>
      <c r="G334" s="2">
        <v>187</v>
      </c>
      <c r="H334" s="2">
        <v>0</v>
      </c>
      <c r="I334" s="2">
        <v>1493</v>
      </c>
      <c r="J334" s="2">
        <v>304</v>
      </c>
      <c r="K334" s="2">
        <v>53</v>
      </c>
      <c r="L334" s="2">
        <v>633</v>
      </c>
      <c r="M334" s="2">
        <f>Tabela_dados_base[[#This Row],[Clicks pagos]]+Tabela_dados_base[[#This Row],[Clicks redes sociais]]</f>
        <v>304</v>
      </c>
      <c r="N334" s="5">
        <f>IFERROR(Tabela_dados_base[[#This Row],[Clicks pagos]]/Tabela_dados_base[[#This Row],[Total de Clicks]],"")</f>
        <v>0</v>
      </c>
      <c r="O334" s="5">
        <f>IFERROR(Tabela_dados_base[[#This Row],[Clicks redes sociais]]/Tabela_dados_base[[#This Row],[Total de Clicks]],"")</f>
        <v>1</v>
      </c>
      <c r="P334" s="6">
        <f>Tabela_dados_base[[#This Row],[Total de Clicks]]/Tabela_dados_base[[#This Row],[Visualizações]]</f>
        <v>0.48025276461295419</v>
      </c>
      <c r="Q334" s="5">
        <f>Tabela_dados_base[[#This Row],[Vezes pesquisados]]/Tabela_dados_base[[#This Row],[Visualizações]]</f>
        <v>8.3728278041074244E-2</v>
      </c>
      <c r="R334" s="5">
        <f>Tabela_dados_base[[#This Row],[Visitas Diretas]]/Tabela_dados_base[[#This Row],[Visualizações]]</f>
        <v>0.18483412322274881</v>
      </c>
    </row>
    <row r="335" spans="1:18" x14ac:dyDescent="0.2">
      <c r="A335" t="s">
        <v>18</v>
      </c>
      <c r="B335" t="s">
        <v>19</v>
      </c>
      <c r="C335" t="s">
        <v>20</v>
      </c>
      <c r="D335">
        <v>1047</v>
      </c>
      <c r="E335" s="1">
        <v>44484</v>
      </c>
      <c r="F335" s="2">
        <v>92</v>
      </c>
      <c r="G335" s="2">
        <v>148</v>
      </c>
      <c r="H335" s="2">
        <v>0</v>
      </c>
      <c r="I335" s="2">
        <v>1026</v>
      </c>
      <c r="J335" s="2">
        <v>240</v>
      </c>
      <c r="K335" s="2">
        <v>42</v>
      </c>
      <c r="L335" s="2">
        <v>525</v>
      </c>
      <c r="M335" s="2">
        <f>Tabela_dados_base[[#This Row],[Clicks pagos]]+Tabela_dados_base[[#This Row],[Clicks redes sociais]]</f>
        <v>240</v>
      </c>
      <c r="N335" s="5">
        <f>IFERROR(Tabela_dados_base[[#This Row],[Clicks pagos]]/Tabela_dados_base[[#This Row],[Total de Clicks]],"")</f>
        <v>0</v>
      </c>
      <c r="O335" s="5">
        <f>IFERROR(Tabela_dados_base[[#This Row],[Clicks redes sociais]]/Tabela_dados_base[[#This Row],[Total de Clicks]],"")</f>
        <v>1</v>
      </c>
      <c r="P335" s="6">
        <f>Tabela_dados_base[[#This Row],[Total de Clicks]]/Tabela_dados_base[[#This Row],[Visualizações]]</f>
        <v>0.45714285714285713</v>
      </c>
      <c r="Q335" s="5">
        <f>Tabela_dados_base[[#This Row],[Vezes pesquisados]]/Tabela_dados_base[[#This Row],[Visualizações]]</f>
        <v>0.08</v>
      </c>
      <c r="R335" s="5">
        <f>Tabela_dados_base[[#This Row],[Visitas Diretas]]/Tabela_dados_base[[#This Row],[Visualizações]]</f>
        <v>0.17523809523809525</v>
      </c>
    </row>
    <row r="336" spans="1:18" x14ac:dyDescent="0.2">
      <c r="A336" t="s">
        <v>18</v>
      </c>
      <c r="B336" t="s">
        <v>19</v>
      </c>
      <c r="C336" t="s">
        <v>20</v>
      </c>
      <c r="D336">
        <v>1047</v>
      </c>
      <c r="E336" s="1">
        <v>44485</v>
      </c>
      <c r="F336" s="2">
        <v>18</v>
      </c>
      <c r="G336" s="2">
        <v>28</v>
      </c>
      <c r="H336" s="2">
        <v>0</v>
      </c>
      <c r="I336" s="2">
        <v>297</v>
      </c>
      <c r="J336" s="2">
        <v>46</v>
      </c>
      <c r="K336" s="2">
        <v>8</v>
      </c>
      <c r="L336" s="2">
        <v>96</v>
      </c>
      <c r="M336" s="2">
        <f>Tabela_dados_base[[#This Row],[Clicks pagos]]+Tabela_dados_base[[#This Row],[Clicks redes sociais]]</f>
        <v>46</v>
      </c>
      <c r="N336" s="5">
        <f>IFERROR(Tabela_dados_base[[#This Row],[Clicks pagos]]/Tabela_dados_base[[#This Row],[Total de Clicks]],"")</f>
        <v>0</v>
      </c>
      <c r="O336" s="5">
        <f>IFERROR(Tabela_dados_base[[#This Row],[Clicks redes sociais]]/Tabela_dados_base[[#This Row],[Total de Clicks]],"")</f>
        <v>1</v>
      </c>
      <c r="P336" s="6">
        <f>Tabela_dados_base[[#This Row],[Total de Clicks]]/Tabela_dados_base[[#This Row],[Visualizações]]</f>
        <v>0.47916666666666669</v>
      </c>
      <c r="Q336" s="5">
        <f>Tabela_dados_base[[#This Row],[Vezes pesquisados]]/Tabela_dados_base[[#This Row],[Visualizações]]</f>
        <v>8.3333333333333329E-2</v>
      </c>
      <c r="R336" s="5">
        <f>Tabela_dados_base[[#This Row],[Visitas Diretas]]/Tabela_dados_base[[#This Row],[Visualizações]]</f>
        <v>0.1875</v>
      </c>
    </row>
    <row r="337" spans="1:18" x14ac:dyDescent="0.2">
      <c r="A337" t="s">
        <v>18</v>
      </c>
      <c r="B337" t="s">
        <v>19</v>
      </c>
      <c r="C337" t="s">
        <v>20</v>
      </c>
      <c r="D337">
        <v>1047</v>
      </c>
      <c r="E337" s="1">
        <v>44486</v>
      </c>
      <c r="F337" s="2">
        <v>17</v>
      </c>
      <c r="G337" s="2">
        <v>28</v>
      </c>
      <c r="H337" s="2">
        <v>0</v>
      </c>
      <c r="I337" s="2">
        <v>180</v>
      </c>
      <c r="J337" s="2">
        <v>45</v>
      </c>
      <c r="K337" s="2">
        <v>8</v>
      </c>
      <c r="L337" s="2">
        <v>130</v>
      </c>
      <c r="M337" s="2">
        <f>Tabela_dados_base[[#This Row],[Clicks pagos]]+Tabela_dados_base[[#This Row],[Clicks redes sociais]]</f>
        <v>45</v>
      </c>
      <c r="N337" s="5">
        <f>IFERROR(Tabela_dados_base[[#This Row],[Clicks pagos]]/Tabela_dados_base[[#This Row],[Total de Clicks]],"")</f>
        <v>0</v>
      </c>
      <c r="O337" s="5">
        <f>IFERROR(Tabela_dados_base[[#This Row],[Clicks redes sociais]]/Tabela_dados_base[[#This Row],[Total de Clicks]],"")</f>
        <v>1</v>
      </c>
      <c r="P337" s="6">
        <f>Tabela_dados_base[[#This Row],[Total de Clicks]]/Tabela_dados_base[[#This Row],[Visualizações]]</f>
        <v>0.34615384615384615</v>
      </c>
      <c r="Q337" s="5">
        <f>Tabela_dados_base[[#This Row],[Vezes pesquisados]]/Tabela_dados_base[[#This Row],[Visualizações]]</f>
        <v>6.1538461538461542E-2</v>
      </c>
      <c r="R337" s="5">
        <f>Tabela_dados_base[[#This Row],[Visitas Diretas]]/Tabela_dados_base[[#This Row],[Visualizações]]</f>
        <v>0.13076923076923078</v>
      </c>
    </row>
    <row r="338" spans="1:18" x14ac:dyDescent="0.2">
      <c r="A338" t="s">
        <v>18</v>
      </c>
      <c r="B338" t="s">
        <v>19</v>
      </c>
      <c r="C338" t="s">
        <v>20</v>
      </c>
      <c r="D338">
        <v>1047</v>
      </c>
      <c r="E338" s="1">
        <v>44489</v>
      </c>
      <c r="F338" s="2">
        <v>8</v>
      </c>
      <c r="G338" s="2">
        <v>13</v>
      </c>
      <c r="H338" s="2">
        <v>0</v>
      </c>
      <c r="I338" s="2">
        <v>224</v>
      </c>
      <c r="J338" s="2">
        <v>22</v>
      </c>
      <c r="K338" s="2">
        <v>4</v>
      </c>
      <c r="L338" s="2">
        <v>118</v>
      </c>
      <c r="M338" s="2">
        <f>Tabela_dados_base[[#This Row],[Clicks pagos]]+Tabela_dados_base[[#This Row],[Clicks redes sociais]]</f>
        <v>22</v>
      </c>
      <c r="N338" s="5">
        <f>IFERROR(Tabela_dados_base[[#This Row],[Clicks pagos]]/Tabela_dados_base[[#This Row],[Total de Clicks]],"")</f>
        <v>0</v>
      </c>
      <c r="O338" s="5">
        <f>IFERROR(Tabela_dados_base[[#This Row],[Clicks redes sociais]]/Tabela_dados_base[[#This Row],[Total de Clicks]],"")</f>
        <v>1</v>
      </c>
      <c r="P338" s="6">
        <f>Tabela_dados_base[[#This Row],[Total de Clicks]]/Tabela_dados_base[[#This Row],[Visualizações]]</f>
        <v>0.1864406779661017</v>
      </c>
      <c r="Q338" s="5">
        <f>Tabela_dados_base[[#This Row],[Vezes pesquisados]]/Tabela_dados_base[[#This Row],[Visualizações]]</f>
        <v>3.3898305084745763E-2</v>
      </c>
      <c r="R338" s="5">
        <f>Tabela_dados_base[[#This Row],[Visitas Diretas]]/Tabela_dados_base[[#This Row],[Visualizações]]</f>
        <v>6.7796610169491525E-2</v>
      </c>
    </row>
    <row r="339" spans="1:18" x14ac:dyDescent="0.2">
      <c r="A339" t="s">
        <v>18</v>
      </c>
      <c r="B339" t="s">
        <v>19</v>
      </c>
      <c r="C339" t="s">
        <v>20</v>
      </c>
      <c r="D339">
        <v>1047</v>
      </c>
      <c r="E339" s="1">
        <v>44490</v>
      </c>
      <c r="F339" s="2">
        <v>19</v>
      </c>
      <c r="G339" s="2">
        <v>30</v>
      </c>
      <c r="H339" s="2">
        <v>0</v>
      </c>
      <c r="I339" s="2">
        <v>283</v>
      </c>
      <c r="J339" s="2">
        <v>48</v>
      </c>
      <c r="K339" s="2">
        <v>8</v>
      </c>
      <c r="L339" s="2">
        <v>106</v>
      </c>
      <c r="M339" s="2">
        <f>Tabela_dados_base[[#This Row],[Clicks pagos]]+Tabela_dados_base[[#This Row],[Clicks redes sociais]]</f>
        <v>48</v>
      </c>
      <c r="N339" s="5">
        <f>IFERROR(Tabela_dados_base[[#This Row],[Clicks pagos]]/Tabela_dados_base[[#This Row],[Total de Clicks]],"")</f>
        <v>0</v>
      </c>
      <c r="O339" s="5">
        <f>IFERROR(Tabela_dados_base[[#This Row],[Clicks redes sociais]]/Tabela_dados_base[[#This Row],[Total de Clicks]],"")</f>
        <v>1</v>
      </c>
      <c r="P339" s="6">
        <f>Tabela_dados_base[[#This Row],[Total de Clicks]]/Tabela_dados_base[[#This Row],[Visualizações]]</f>
        <v>0.45283018867924529</v>
      </c>
      <c r="Q339" s="5">
        <f>Tabela_dados_base[[#This Row],[Vezes pesquisados]]/Tabela_dados_base[[#This Row],[Visualizações]]</f>
        <v>7.5471698113207544E-2</v>
      </c>
      <c r="R339" s="5">
        <f>Tabela_dados_base[[#This Row],[Visitas Diretas]]/Tabela_dados_base[[#This Row],[Visualizações]]</f>
        <v>0.17924528301886791</v>
      </c>
    </row>
    <row r="340" spans="1:18" x14ac:dyDescent="0.2">
      <c r="A340" t="s">
        <v>18</v>
      </c>
      <c r="B340" t="s">
        <v>19</v>
      </c>
      <c r="C340" t="s">
        <v>20</v>
      </c>
      <c r="D340">
        <v>1047</v>
      </c>
      <c r="E340" s="1">
        <v>44492</v>
      </c>
      <c r="F340" s="2">
        <v>74</v>
      </c>
      <c r="G340" s="2">
        <v>118</v>
      </c>
      <c r="H340" s="2">
        <v>0</v>
      </c>
      <c r="I340" s="2">
        <v>772</v>
      </c>
      <c r="J340" s="2">
        <v>191</v>
      </c>
      <c r="K340" s="2">
        <v>33</v>
      </c>
      <c r="L340" s="2">
        <v>400</v>
      </c>
      <c r="M340" s="2">
        <f>Tabela_dados_base[[#This Row],[Clicks pagos]]+Tabela_dados_base[[#This Row],[Clicks redes sociais]]</f>
        <v>191</v>
      </c>
      <c r="N340" s="5">
        <f>IFERROR(Tabela_dados_base[[#This Row],[Clicks pagos]]/Tabela_dados_base[[#This Row],[Total de Clicks]],"")</f>
        <v>0</v>
      </c>
      <c r="O340" s="5">
        <f>IFERROR(Tabela_dados_base[[#This Row],[Clicks redes sociais]]/Tabela_dados_base[[#This Row],[Total de Clicks]],"")</f>
        <v>1</v>
      </c>
      <c r="P340" s="6">
        <f>Tabela_dados_base[[#This Row],[Total de Clicks]]/Tabela_dados_base[[#This Row],[Visualizações]]</f>
        <v>0.47749999999999998</v>
      </c>
      <c r="Q340" s="5">
        <f>Tabela_dados_base[[#This Row],[Vezes pesquisados]]/Tabela_dados_base[[#This Row],[Visualizações]]</f>
        <v>8.2500000000000004E-2</v>
      </c>
      <c r="R340" s="5">
        <f>Tabela_dados_base[[#This Row],[Visitas Diretas]]/Tabela_dados_base[[#This Row],[Visualizações]]</f>
        <v>0.185</v>
      </c>
    </row>
    <row r="341" spans="1:18" x14ac:dyDescent="0.2">
      <c r="A341" t="s">
        <v>18</v>
      </c>
      <c r="B341" t="s">
        <v>19</v>
      </c>
      <c r="C341" t="s">
        <v>20</v>
      </c>
      <c r="D341">
        <v>1047</v>
      </c>
      <c r="E341" s="1">
        <v>44493</v>
      </c>
      <c r="F341" s="2">
        <v>85</v>
      </c>
      <c r="G341" s="2">
        <v>136</v>
      </c>
      <c r="H341" s="2">
        <v>0</v>
      </c>
      <c r="I341" s="2">
        <v>1513</v>
      </c>
      <c r="J341" s="2">
        <v>221</v>
      </c>
      <c r="K341" s="2">
        <v>38</v>
      </c>
      <c r="L341" s="2">
        <v>469</v>
      </c>
      <c r="M341" s="2">
        <f>Tabela_dados_base[[#This Row],[Clicks pagos]]+Tabela_dados_base[[#This Row],[Clicks redes sociais]]</f>
        <v>221</v>
      </c>
      <c r="N341" s="5">
        <f>IFERROR(Tabela_dados_base[[#This Row],[Clicks pagos]]/Tabela_dados_base[[#This Row],[Total de Clicks]],"")</f>
        <v>0</v>
      </c>
      <c r="O341" s="5">
        <f>IFERROR(Tabela_dados_base[[#This Row],[Clicks redes sociais]]/Tabela_dados_base[[#This Row],[Total de Clicks]],"")</f>
        <v>1</v>
      </c>
      <c r="P341" s="6">
        <f>Tabela_dados_base[[#This Row],[Total de Clicks]]/Tabela_dados_base[[#This Row],[Visualizações]]</f>
        <v>0.47121535181236673</v>
      </c>
      <c r="Q341" s="5">
        <f>Tabela_dados_base[[#This Row],[Vezes pesquisados]]/Tabela_dados_base[[#This Row],[Visualizações]]</f>
        <v>8.1023454157782518E-2</v>
      </c>
      <c r="R341" s="5">
        <f>Tabela_dados_base[[#This Row],[Visitas Diretas]]/Tabela_dados_base[[#This Row],[Visualizações]]</f>
        <v>0.18123667377398719</v>
      </c>
    </row>
    <row r="342" spans="1:18" x14ac:dyDescent="0.2">
      <c r="A342" t="s">
        <v>18</v>
      </c>
      <c r="B342" t="s">
        <v>19</v>
      </c>
      <c r="C342" t="s">
        <v>20</v>
      </c>
      <c r="D342">
        <v>1047</v>
      </c>
      <c r="E342" s="1">
        <v>44494</v>
      </c>
      <c r="F342" s="2">
        <v>52</v>
      </c>
      <c r="G342" s="2">
        <v>83</v>
      </c>
      <c r="H342" s="2">
        <v>0</v>
      </c>
      <c r="I342" s="2">
        <v>785</v>
      </c>
      <c r="J342" s="2">
        <v>135</v>
      </c>
      <c r="K342" s="2">
        <v>23</v>
      </c>
      <c r="L342" s="2">
        <v>328</v>
      </c>
      <c r="M342" s="2">
        <f>Tabela_dados_base[[#This Row],[Clicks pagos]]+Tabela_dados_base[[#This Row],[Clicks redes sociais]]</f>
        <v>135</v>
      </c>
      <c r="N342" s="5">
        <f>IFERROR(Tabela_dados_base[[#This Row],[Clicks pagos]]/Tabela_dados_base[[#This Row],[Total de Clicks]],"")</f>
        <v>0</v>
      </c>
      <c r="O342" s="5">
        <f>IFERROR(Tabela_dados_base[[#This Row],[Clicks redes sociais]]/Tabela_dados_base[[#This Row],[Total de Clicks]],"")</f>
        <v>1</v>
      </c>
      <c r="P342" s="6">
        <f>Tabela_dados_base[[#This Row],[Total de Clicks]]/Tabela_dados_base[[#This Row],[Visualizações]]</f>
        <v>0.41158536585365851</v>
      </c>
      <c r="Q342" s="5">
        <f>Tabela_dados_base[[#This Row],[Vezes pesquisados]]/Tabela_dados_base[[#This Row],[Visualizações]]</f>
        <v>7.0121951219512202E-2</v>
      </c>
      <c r="R342" s="5">
        <f>Tabela_dados_base[[#This Row],[Visitas Diretas]]/Tabela_dados_base[[#This Row],[Visualizações]]</f>
        <v>0.15853658536585366</v>
      </c>
    </row>
    <row r="343" spans="1:18" x14ac:dyDescent="0.2">
      <c r="A343" t="s">
        <v>18</v>
      </c>
      <c r="B343" t="s">
        <v>19</v>
      </c>
      <c r="C343" t="s">
        <v>20</v>
      </c>
      <c r="D343">
        <v>1047</v>
      </c>
      <c r="E343" s="1">
        <v>44497</v>
      </c>
      <c r="F343" s="2">
        <v>39</v>
      </c>
      <c r="G343" s="2">
        <v>62</v>
      </c>
      <c r="H343" s="2">
        <v>0</v>
      </c>
      <c r="I343" s="2">
        <v>582</v>
      </c>
      <c r="J343" s="2">
        <v>101</v>
      </c>
      <c r="K343" s="2">
        <v>18</v>
      </c>
      <c r="L343" s="2">
        <v>224</v>
      </c>
      <c r="M343" s="2">
        <f>Tabela_dados_base[[#This Row],[Clicks pagos]]+Tabela_dados_base[[#This Row],[Clicks redes sociais]]</f>
        <v>101</v>
      </c>
      <c r="N343" s="5">
        <f>IFERROR(Tabela_dados_base[[#This Row],[Clicks pagos]]/Tabela_dados_base[[#This Row],[Total de Clicks]],"")</f>
        <v>0</v>
      </c>
      <c r="O343" s="5">
        <f>IFERROR(Tabela_dados_base[[#This Row],[Clicks redes sociais]]/Tabela_dados_base[[#This Row],[Total de Clicks]],"")</f>
        <v>1</v>
      </c>
      <c r="P343" s="6">
        <f>Tabela_dados_base[[#This Row],[Total de Clicks]]/Tabela_dados_base[[#This Row],[Visualizações]]</f>
        <v>0.45089285714285715</v>
      </c>
      <c r="Q343" s="5">
        <f>Tabela_dados_base[[#This Row],[Vezes pesquisados]]/Tabela_dados_base[[#This Row],[Visualizações]]</f>
        <v>8.0357142857142863E-2</v>
      </c>
      <c r="R343" s="5">
        <f>Tabela_dados_base[[#This Row],[Visitas Diretas]]/Tabela_dados_base[[#This Row],[Visualizações]]</f>
        <v>0.17410714285714285</v>
      </c>
    </row>
    <row r="344" spans="1:18" x14ac:dyDescent="0.2">
      <c r="A344" t="s">
        <v>18</v>
      </c>
      <c r="B344" t="s">
        <v>19</v>
      </c>
      <c r="C344" t="s">
        <v>20</v>
      </c>
      <c r="D344">
        <v>1047</v>
      </c>
      <c r="E344" s="1">
        <v>44498</v>
      </c>
      <c r="F344" s="2">
        <v>168</v>
      </c>
      <c r="G344" s="2">
        <v>269</v>
      </c>
      <c r="H344" s="2">
        <v>0</v>
      </c>
      <c r="I344" s="2">
        <v>1910</v>
      </c>
      <c r="J344" s="2">
        <v>437</v>
      </c>
      <c r="K344" s="2">
        <v>76</v>
      </c>
      <c r="L344" s="2">
        <v>890</v>
      </c>
      <c r="M344" s="2">
        <f>Tabela_dados_base[[#This Row],[Clicks pagos]]+Tabela_dados_base[[#This Row],[Clicks redes sociais]]</f>
        <v>437</v>
      </c>
      <c r="N344" s="5">
        <f>IFERROR(Tabela_dados_base[[#This Row],[Clicks pagos]]/Tabela_dados_base[[#This Row],[Total de Clicks]],"")</f>
        <v>0</v>
      </c>
      <c r="O344" s="5">
        <f>IFERROR(Tabela_dados_base[[#This Row],[Clicks redes sociais]]/Tabela_dados_base[[#This Row],[Total de Clicks]],"")</f>
        <v>1</v>
      </c>
      <c r="P344" s="6">
        <f>Tabela_dados_base[[#This Row],[Total de Clicks]]/Tabela_dados_base[[#This Row],[Visualizações]]</f>
        <v>0.49101123595505619</v>
      </c>
      <c r="Q344" s="5">
        <f>Tabela_dados_base[[#This Row],[Vezes pesquisados]]/Tabela_dados_base[[#This Row],[Visualizações]]</f>
        <v>8.5393258426966295E-2</v>
      </c>
      <c r="R344" s="5">
        <f>Tabela_dados_base[[#This Row],[Visitas Diretas]]/Tabela_dados_base[[#This Row],[Visualizações]]</f>
        <v>0.18876404494382024</v>
      </c>
    </row>
    <row r="345" spans="1:18" x14ac:dyDescent="0.2">
      <c r="A345" t="s">
        <v>18</v>
      </c>
      <c r="B345" t="s">
        <v>19</v>
      </c>
      <c r="C345" t="s">
        <v>20</v>
      </c>
      <c r="D345">
        <v>1047</v>
      </c>
      <c r="E345" s="1">
        <v>44499</v>
      </c>
      <c r="F345" s="2">
        <v>9</v>
      </c>
      <c r="G345" s="2">
        <v>14</v>
      </c>
      <c r="H345" s="2">
        <v>0</v>
      </c>
      <c r="I345" s="2">
        <v>89</v>
      </c>
      <c r="J345" s="2">
        <v>22</v>
      </c>
      <c r="K345" s="2">
        <v>4</v>
      </c>
      <c r="L345" s="2">
        <v>67</v>
      </c>
      <c r="M345" s="2">
        <f>Tabela_dados_base[[#This Row],[Clicks pagos]]+Tabela_dados_base[[#This Row],[Clicks redes sociais]]</f>
        <v>22</v>
      </c>
      <c r="N345" s="5">
        <f>IFERROR(Tabela_dados_base[[#This Row],[Clicks pagos]]/Tabela_dados_base[[#This Row],[Total de Clicks]],"")</f>
        <v>0</v>
      </c>
      <c r="O345" s="5">
        <f>IFERROR(Tabela_dados_base[[#This Row],[Clicks redes sociais]]/Tabela_dados_base[[#This Row],[Total de Clicks]],"")</f>
        <v>1</v>
      </c>
      <c r="P345" s="6">
        <f>Tabela_dados_base[[#This Row],[Total de Clicks]]/Tabela_dados_base[[#This Row],[Visualizações]]</f>
        <v>0.32835820895522388</v>
      </c>
      <c r="Q345" s="5">
        <f>Tabela_dados_base[[#This Row],[Vezes pesquisados]]/Tabela_dados_base[[#This Row],[Visualizações]]</f>
        <v>5.9701492537313432E-2</v>
      </c>
      <c r="R345" s="5">
        <f>Tabela_dados_base[[#This Row],[Visitas Diretas]]/Tabela_dados_base[[#This Row],[Visualizações]]</f>
        <v>0.13432835820895522</v>
      </c>
    </row>
    <row r="346" spans="1:18" x14ac:dyDescent="0.2">
      <c r="A346" t="s">
        <v>18</v>
      </c>
      <c r="B346" t="s">
        <v>19</v>
      </c>
      <c r="C346" t="s">
        <v>20</v>
      </c>
      <c r="D346">
        <v>1047</v>
      </c>
      <c r="E346" s="1">
        <v>44503</v>
      </c>
      <c r="F346" s="2">
        <v>46</v>
      </c>
      <c r="G346" s="2">
        <v>74</v>
      </c>
      <c r="H346" s="2">
        <v>0</v>
      </c>
      <c r="I346" s="2">
        <v>1007</v>
      </c>
      <c r="J346" s="2">
        <v>120</v>
      </c>
      <c r="K346" s="2">
        <v>21</v>
      </c>
      <c r="L346" s="2">
        <v>259</v>
      </c>
      <c r="M346" s="2">
        <f>Tabela_dados_base[[#This Row],[Clicks pagos]]+Tabela_dados_base[[#This Row],[Clicks redes sociais]]</f>
        <v>120</v>
      </c>
      <c r="N346" s="5">
        <f>IFERROR(Tabela_dados_base[[#This Row],[Clicks pagos]]/Tabela_dados_base[[#This Row],[Total de Clicks]],"")</f>
        <v>0</v>
      </c>
      <c r="O346" s="5">
        <f>IFERROR(Tabela_dados_base[[#This Row],[Clicks redes sociais]]/Tabela_dados_base[[#This Row],[Total de Clicks]],"")</f>
        <v>1</v>
      </c>
      <c r="P346" s="6">
        <f>Tabela_dados_base[[#This Row],[Total de Clicks]]/Tabela_dados_base[[#This Row],[Visualizações]]</f>
        <v>0.46332046332046334</v>
      </c>
      <c r="Q346" s="5">
        <f>Tabela_dados_base[[#This Row],[Vezes pesquisados]]/Tabela_dados_base[[#This Row],[Visualizações]]</f>
        <v>8.1081081081081086E-2</v>
      </c>
      <c r="R346" s="5">
        <f>Tabela_dados_base[[#This Row],[Visitas Diretas]]/Tabela_dados_base[[#This Row],[Visualizações]]</f>
        <v>0.17760617760617761</v>
      </c>
    </row>
    <row r="347" spans="1:18" x14ac:dyDescent="0.2">
      <c r="A347" t="s">
        <v>18</v>
      </c>
      <c r="B347" t="s">
        <v>19</v>
      </c>
      <c r="C347" t="s">
        <v>20</v>
      </c>
      <c r="D347">
        <v>1047</v>
      </c>
      <c r="E347" s="1">
        <v>44506</v>
      </c>
      <c r="F347" s="2">
        <v>41</v>
      </c>
      <c r="G347" s="2">
        <v>65</v>
      </c>
      <c r="H347" s="2">
        <v>0</v>
      </c>
      <c r="I347" s="2">
        <v>494</v>
      </c>
      <c r="J347" s="2">
        <v>106</v>
      </c>
      <c r="K347" s="2">
        <v>18</v>
      </c>
      <c r="L347" s="2">
        <v>283</v>
      </c>
      <c r="M347" s="2">
        <f>Tabela_dados_base[[#This Row],[Clicks pagos]]+Tabela_dados_base[[#This Row],[Clicks redes sociais]]</f>
        <v>106</v>
      </c>
      <c r="N347" s="5">
        <f>IFERROR(Tabela_dados_base[[#This Row],[Clicks pagos]]/Tabela_dados_base[[#This Row],[Total de Clicks]],"")</f>
        <v>0</v>
      </c>
      <c r="O347" s="5">
        <f>IFERROR(Tabela_dados_base[[#This Row],[Clicks redes sociais]]/Tabela_dados_base[[#This Row],[Total de Clicks]],"")</f>
        <v>1</v>
      </c>
      <c r="P347" s="6">
        <f>Tabela_dados_base[[#This Row],[Total de Clicks]]/Tabela_dados_base[[#This Row],[Visualizações]]</f>
        <v>0.37455830388692579</v>
      </c>
      <c r="Q347" s="5">
        <f>Tabela_dados_base[[#This Row],[Vezes pesquisados]]/Tabela_dados_base[[#This Row],[Visualizações]]</f>
        <v>6.3604240282685506E-2</v>
      </c>
      <c r="R347" s="5">
        <f>Tabela_dados_base[[#This Row],[Visitas Diretas]]/Tabela_dados_base[[#This Row],[Visualizações]]</f>
        <v>0.14487632508833923</v>
      </c>
    </row>
    <row r="348" spans="1:18" x14ac:dyDescent="0.2">
      <c r="A348" t="s">
        <v>18</v>
      </c>
      <c r="B348" t="s">
        <v>19</v>
      </c>
      <c r="C348" t="s">
        <v>20</v>
      </c>
      <c r="D348">
        <v>1047</v>
      </c>
      <c r="E348" s="1">
        <v>44508</v>
      </c>
      <c r="F348" s="2">
        <v>7</v>
      </c>
      <c r="G348" s="2">
        <v>11</v>
      </c>
      <c r="H348" s="2">
        <v>0</v>
      </c>
      <c r="I348" s="2">
        <v>457</v>
      </c>
      <c r="J348" s="2">
        <v>17</v>
      </c>
      <c r="K348" s="2">
        <v>3</v>
      </c>
      <c r="L348" s="2">
        <v>117</v>
      </c>
      <c r="M348" s="2">
        <f>Tabela_dados_base[[#This Row],[Clicks pagos]]+Tabela_dados_base[[#This Row],[Clicks redes sociais]]</f>
        <v>17</v>
      </c>
      <c r="N348" s="5">
        <f>IFERROR(Tabela_dados_base[[#This Row],[Clicks pagos]]/Tabela_dados_base[[#This Row],[Total de Clicks]],"")</f>
        <v>0</v>
      </c>
      <c r="O348" s="5">
        <f>IFERROR(Tabela_dados_base[[#This Row],[Clicks redes sociais]]/Tabela_dados_base[[#This Row],[Total de Clicks]],"")</f>
        <v>1</v>
      </c>
      <c r="P348" s="6">
        <f>Tabela_dados_base[[#This Row],[Total de Clicks]]/Tabela_dados_base[[#This Row],[Visualizações]]</f>
        <v>0.14529914529914531</v>
      </c>
      <c r="Q348" s="5">
        <f>Tabela_dados_base[[#This Row],[Vezes pesquisados]]/Tabela_dados_base[[#This Row],[Visualizações]]</f>
        <v>2.564102564102564E-2</v>
      </c>
      <c r="R348" s="5">
        <f>Tabela_dados_base[[#This Row],[Visitas Diretas]]/Tabela_dados_base[[#This Row],[Visualizações]]</f>
        <v>5.9829059829059832E-2</v>
      </c>
    </row>
    <row r="349" spans="1:18" x14ac:dyDescent="0.2">
      <c r="A349" t="s">
        <v>18</v>
      </c>
      <c r="B349" t="s">
        <v>19</v>
      </c>
      <c r="C349" t="s">
        <v>20</v>
      </c>
      <c r="D349">
        <v>1047</v>
      </c>
      <c r="E349" s="1">
        <v>44513</v>
      </c>
      <c r="F349" s="2">
        <v>8</v>
      </c>
      <c r="G349" s="2">
        <v>13</v>
      </c>
      <c r="H349" s="2">
        <v>0</v>
      </c>
      <c r="I349" s="2">
        <v>152</v>
      </c>
      <c r="J349" s="2">
        <v>21</v>
      </c>
      <c r="K349" s="2">
        <v>4</v>
      </c>
      <c r="L349" s="2">
        <v>47</v>
      </c>
      <c r="M349" s="2">
        <f>Tabela_dados_base[[#This Row],[Clicks pagos]]+Tabela_dados_base[[#This Row],[Clicks redes sociais]]</f>
        <v>21</v>
      </c>
      <c r="N349" s="5">
        <f>IFERROR(Tabela_dados_base[[#This Row],[Clicks pagos]]/Tabela_dados_base[[#This Row],[Total de Clicks]],"")</f>
        <v>0</v>
      </c>
      <c r="O349" s="5">
        <f>IFERROR(Tabela_dados_base[[#This Row],[Clicks redes sociais]]/Tabela_dados_base[[#This Row],[Total de Clicks]],"")</f>
        <v>1</v>
      </c>
      <c r="P349" s="6">
        <f>Tabela_dados_base[[#This Row],[Total de Clicks]]/Tabela_dados_base[[#This Row],[Visualizações]]</f>
        <v>0.44680851063829785</v>
      </c>
      <c r="Q349" s="5">
        <f>Tabela_dados_base[[#This Row],[Vezes pesquisados]]/Tabela_dados_base[[#This Row],[Visualizações]]</f>
        <v>8.5106382978723402E-2</v>
      </c>
      <c r="R349" s="5">
        <f>Tabela_dados_base[[#This Row],[Visitas Diretas]]/Tabela_dados_base[[#This Row],[Visualizações]]</f>
        <v>0.1702127659574468</v>
      </c>
    </row>
    <row r="350" spans="1:18" x14ac:dyDescent="0.2">
      <c r="A350" t="s">
        <v>18</v>
      </c>
      <c r="B350" t="s">
        <v>19</v>
      </c>
      <c r="C350" t="s">
        <v>20</v>
      </c>
      <c r="D350">
        <v>1047</v>
      </c>
      <c r="E350" s="1">
        <v>44514</v>
      </c>
      <c r="F350" s="2">
        <v>4</v>
      </c>
      <c r="G350" s="2">
        <v>6</v>
      </c>
      <c r="H350" s="2">
        <v>0</v>
      </c>
      <c r="I350" s="2">
        <v>166</v>
      </c>
      <c r="J350" s="2">
        <v>10</v>
      </c>
      <c r="K350" s="2">
        <v>2</v>
      </c>
      <c r="L350" s="2">
        <v>45</v>
      </c>
      <c r="M350" s="2">
        <f>Tabela_dados_base[[#This Row],[Clicks pagos]]+Tabela_dados_base[[#This Row],[Clicks redes sociais]]</f>
        <v>10</v>
      </c>
      <c r="N350" s="5">
        <f>IFERROR(Tabela_dados_base[[#This Row],[Clicks pagos]]/Tabela_dados_base[[#This Row],[Total de Clicks]],"")</f>
        <v>0</v>
      </c>
      <c r="O350" s="5">
        <f>IFERROR(Tabela_dados_base[[#This Row],[Clicks redes sociais]]/Tabela_dados_base[[#This Row],[Total de Clicks]],"")</f>
        <v>1</v>
      </c>
      <c r="P350" s="6">
        <f>Tabela_dados_base[[#This Row],[Total de Clicks]]/Tabela_dados_base[[#This Row],[Visualizações]]</f>
        <v>0.22222222222222221</v>
      </c>
      <c r="Q350" s="5">
        <f>Tabela_dados_base[[#This Row],[Vezes pesquisados]]/Tabela_dados_base[[#This Row],[Visualizações]]</f>
        <v>4.4444444444444446E-2</v>
      </c>
      <c r="R350" s="5">
        <f>Tabela_dados_base[[#This Row],[Visitas Diretas]]/Tabela_dados_base[[#This Row],[Visualizações]]</f>
        <v>8.8888888888888892E-2</v>
      </c>
    </row>
    <row r="351" spans="1:18" x14ac:dyDescent="0.2">
      <c r="A351" t="s">
        <v>18</v>
      </c>
      <c r="B351" t="s">
        <v>19</v>
      </c>
      <c r="C351" t="s">
        <v>20</v>
      </c>
      <c r="D351">
        <v>1047</v>
      </c>
      <c r="E351" s="1">
        <v>44516</v>
      </c>
      <c r="F351" s="2">
        <v>0</v>
      </c>
      <c r="G351" s="2">
        <v>0</v>
      </c>
      <c r="H351" s="2">
        <v>0</v>
      </c>
      <c r="I351" s="2">
        <v>192</v>
      </c>
      <c r="J351" s="2">
        <v>0</v>
      </c>
      <c r="K351" s="2">
        <v>0</v>
      </c>
      <c r="L351" s="2">
        <v>92</v>
      </c>
      <c r="M351" s="2">
        <f>Tabela_dados_base[[#This Row],[Clicks pagos]]+Tabela_dados_base[[#This Row],[Clicks redes sociais]]</f>
        <v>0</v>
      </c>
      <c r="N351" s="5" t="str">
        <f>IFERROR(Tabela_dados_base[[#This Row],[Clicks pagos]]/Tabela_dados_base[[#This Row],[Total de Clicks]],"")</f>
        <v/>
      </c>
      <c r="O351" s="5" t="str">
        <f>IFERROR(Tabela_dados_base[[#This Row],[Clicks redes sociais]]/Tabela_dados_base[[#This Row],[Total de Clicks]],"")</f>
        <v/>
      </c>
      <c r="P351" s="6">
        <f>Tabela_dados_base[[#This Row],[Total de Clicks]]/Tabela_dados_base[[#This Row],[Visualizações]]</f>
        <v>0</v>
      </c>
      <c r="Q351" s="5">
        <f>Tabela_dados_base[[#This Row],[Vezes pesquisados]]/Tabela_dados_base[[#This Row],[Visualizações]]</f>
        <v>0</v>
      </c>
      <c r="R351" s="5">
        <f>Tabela_dados_base[[#This Row],[Visitas Diretas]]/Tabela_dados_base[[#This Row],[Visualizações]]</f>
        <v>0</v>
      </c>
    </row>
    <row r="352" spans="1:18" x14ac:dyDescent="0.2">
      <c r="A352" t="s">
        <v>18</v>
      </c>
      <c r="B352" t="s">
        <v>19</v>
      </c>
      <c r="C352" t="s">
        <v>20</v>
      </c>
      <c r="D352">
        <v>1047</v>
      </c>
      <c r="E352" s="1">
        <v>44520</v>
      </c>
      <c r="F352" s="2">
        <v>3</v>
      </c>
      <c r="G352" s="2">
        <v>5</v>
      </c>
      <c r="H352" s="2">
        <v>0</v>
      </c>
      <c r="I352" s="2">
        <v>75</v>
      </c>
      <c r="J352" s="2">
        <v>9</v>
      </c>
      <c r="K352" s="2">
        <v>2</v>
      </c>
      <c r="L352" s="2">
        <v>20</v>
      </c>
      <c r="M352" s="2">
        <f>Tabela_dados_base[[#This Row],[Clicks pagos]]+Tabela_dados_base[[#This Row],[Clicks redes sociais]]</f>
        <v>9</v>
      </c>
      <c r="N352" s="5">
        <f>IFERROR(Tabela_dados_base[[#This Row],[Clicks pagos]]/Tabela_dados_base[[#This Row],[Total de Clicks]],"")</f>
        <v>0</v>
      </c>
      <c r="O352" s="5">
        <f>IFERROR(Tabela_dados_base[[#This Row],[Clicks redes sociais]]/Tabela_dados_base[[#This Row],[Total de Clicks]],"")</f>
        <v>1</v>
      </c>
      <c r="P352" s="6">
        <f>Tabela_dados_base[[#This Row],[Total de Clicks]]/Tabela_dados_base[[#This Row],[Visualizações]]</f>
        <v>0.45</v>
      </c>
      <c r="Q352" s="5">
        <f>Tabela_dados_base[[#This Row],[Vezes pesquisados]]/Tabela_dados_base[[#This Row],[Visualizações]]</f>
        <v>0.1</v>
      </c>
      <c r="R352" s="5">
        <f>Tabela_dados_base[[#This Row],[Visitas Diretas]]/Tabela_dados_base[[#This Row],[Visualizações]]</f>
        <v>0.15</v>
      </c>
    </row>
    <row r="353" spans="1:18" x14ac:dyDescent="0.2">
      <c r="A353" t="s">
        <v>18</v>
      </c>
      <c r="B353" t="s">
        <v>19</v>
      </c>
      <c r="C353" t="s">
        <v>20</v>
      </c>
      <c r="D353">
        <v>1047</v>
      </c>
      <c r="E353" s="1">
        <v>44521</v>
      </c>
      <c r="F353" s="2">
        <v>15</v>
      </c>
      <c r="G353" s="2">
        <v>24</v>
      </c>
      <c r="H353" s="2">
        <v>0</v>
      </c>
      <c r="I353" s="2">
        <v>278</v>
      </c>
      <c r="J353" s="2">
        <v>38</v>
      </c>
      <c r="K353" s="2">
        <v>7</v>
      </c>
      <c r="L353" s="2">
        <v>84</v>
      </c>
      <c r="M353" s="2">
        <f>Tabela_dados_base[[#This Row],[Clicks pagos]]+Tabela_dados_base[[#This Row],[Clicks redes sociais]]</f>
        <v>38</v>
      </c>
      <c r="N353" s="5">
        <f>IFERROR(Tabela_dados_base[[#This Row],[Clicks pagos]]/Tabela_dados_base[[#This Row],[Total de Clicks]],"")</f>
        <v>0</v>
      </c>
      <c r="O353" s="5">
        <f>IFERROR(Tabela_dados_base[[#This Row],[Clicks redes sociais]]/Tabela_dados_base[[#This Row],[Total de Clicks]],"")</f>
        <v>1</v>
      </c>
      <c r="P353" s="6">
        <f>Tabela_dados_base[[#This Row],[Total de Clicks]]/Tabela_dados_base[[#This Row],[Visualizações]]</f>
        <v>0.45238095238095238</v>
      </c>
      <c r="Q353" s="5">
        <f>Tabela_dados_base[[#This Row],[Vezes pesquisados]]/Tabela_dados_base[[#This Row],[Visualizações]]</f>
        <v>8.3333333333333329E-2</v>
      </c>
      <c r="R353" s="5">
        <f>Tabela_dados_base[[#This Row],[Visitas Diretas]]/Tabela_dados_base[[#This Row],[Visualizações]]</f>
        <v>0.17857142857142858</v>
      </c>
    </row>
    <row r="354" spans="1:18" x14ac:dyDescent="0.2">
      <c r="A354" t="s">
        <v>18</v>
      </c>
      <c r="B354" t="s">
        <v>19</v>
      </c>
      <c r="C354" t="s">
        <v>20</v>
      </c>
      <c r="D354">
        <v>1047</v>
      </c>
      <c r="E354" s="1">
        <v>44522</v>
      </c>
      <c r="F354" s="2">
        <v>0</v>
      </c>
      <c r="G354" s="2">
        <v>0</v>
      </c>
      <c r="H354" s="2">
        <v>0</v>
      </c>
      <c r="I354" s="2">
        <v>70</v>
      </c>
      <c r="J354" s="2">
        <v>0</v>
      </c>
      <c r="K354" s="2">
        <v>0</v>
      </c>
      <c r="L354" s="2">
        <v>23</v>
      </c>
      <c r="M354" s="2">
        <f>Tabela_dados_base[[#This Row],[Clicks pagos]]+Tabela_dados_base[[#This Row],[Clicks redes sociais]]</f>
        <v>0</v>
      </c>
      <c r="N354" s="5" t="str">
        <f>IFERROR(Tabela_dados_base[[#This Row],[Clicks pagos]]/Tabela_dados_base[[#This Row],[Total de Clicks]],"")</f>
        <v/>
      </c>
      <c r="O354" s="5" t="str">
        <f>IFERROR(Tabela_dados_base[[#This Row],[Clicks redes sociais]]/Tabela_dados_base[[#This Row],[Total de Clicks]],"")</f>
        <v/>
      </c>
      <c r="P354" s="6">
        <f>Tabela_dados_base[[#This Row],[Total de Clicks]]/Tabela_dados_base[[#This Row],[Visualizações]]</f>
        <v>0</v>
      </c>
      <c r="Q354" s="5">
        <f>Tabela_dados_base[[#This Row],[Vezes pesquisados]]/Tabela_dados_base[[#This Row],[Visualizações]]</f>
        <v>0</v>
      </c>
      <c r="R354" s="5">
        <f>Tabela_dados_base[[#This Row],[Visitas Diretas]]/Tabela_dados_base[[#This Row],[Visualizações]]</f>
        <v>0</v>
      </c>
    </row>
    <row r="355" spans="1:18" x14ac:dyDescent="0.2">
      <c r="A355" t="s">
        <v>18</v>
      </c>
      <c r="B355" t="s">
        <v>19</v>
      </c>
      <c r="C355" t="s">
        <v>20</v>
      </c>
      <c r="D355">
        <v>1047</v>
      </c>
      <c r="E355" s="1">
        <v>44526</v>
      </c>
      <c r="F355" s="2">
        <v>0</v>
      </c>
      <c r="G355" s="2">
        <v>0</v>
      </c>
      <c r="H355" s="2">
        <v>0</v>
      </c>
      <c r="I355" s="2">
        <v>50</v>
      </c>
      <c r="J355" s="2">
        <v>0</v>
      </c>
      <c r="K355" s="2">
        <v>0</v>
      </c>
      <c r="L355" s="2">
        <v>32</v>
      </c>
      <c r="M355" s="2">
        <f>Tabela_dados_base[[#This Row],[Clicks pagos]]+Tabela_dados_base[[#This Row],[Clicks redes sociais]]</f>
        <v>0</v>
      </c>
      <c r="N355" s="5" t="str">
        <f>IFERROR(Tabela_dados_base[[#This Row],[Clicks pagos]]/Tabela_dados_base[[#This Row],[Total de Clicks]],"")</f>
        <v/>
      </c>
      <c r="O355" s="5" t="str">
        <f>IFERROR(Tabela_dados_base[[#This Row],[Clicks redes sociais]]/Tabela_dados_base[[#This Row],[Total de Clicks]],"")</f>
        <v/>
      </c>
      <c r="P355" s="6">
        <f>Tabela_dados_base[[#This Row],[Total de Clicks]]/Tabela_dados_base[[#This Row],[Visualizações]]</f>
        <v>0</v>
      </c>
      <c r="Q355" s="5">
        <f>Tabela_dados_base[[#This Row],[Vezes pesquisados]]/Tabela_dados_base[[#This Row],[Visualizações]]</f>
        <v>0</v>
      </c>
      <c r="R355" s="5">
        <f>Tabela_dados_base[[#This Row],[Visitas Diretas]]/Tabela_dados_base[[#This Row],[Visualizações]]</f>
        <v>0</v>
      </c>
    </row>
    <row r="356" spans="1:18" x14ac:dyDescent="0.2">
      <c r="A356" t="s">
        <v>18</v>
      </c>
      <c r="B356" t="s">
        <v>19</v>
      </c>
      <c r="C356" t="s">
        <v>20</v>
      </c>
      <c r="D356">
        <v>1047</v>
      </c>
      <c r="E356" s="1">
        <v>44528</v>
      </c>
      <c r="F356" s="2">
        <v>11</v>
      </c>
      <c r="G356" s="2">
        <v>17</v>
      </c>
      <c r="H356" s="2">
        <v>0</v>
      </c>
      <c r="I356" s="2">
        <v>323</v>
      </c>
      <c r="J356" s="2">
        <v>28</v>
      </c>
      <c r="K356" s="2">
        <v>5</v>
      </c>
      <c r="L356" s="2">
        <v>132</v>
      </c>
      <c r="M356" s="2">
        <f>Tabela_dados_base[[#This Row],[Clicks pagos]]+Tabela_dados_base[[#This Row],[Clicks redes sociais]]</f>
        <v>28</v>
      </c>
      <c r="N356" s="5">
        <f>IFERROR(Tabela_dados_base[[#This Row],[Clicks pagos]]/Tabela_dados_base[[#This Row],[Total de Clicks]],"")</f>
        <v>0</v>
      </c>
      <c r="O356" s="5">
        <f>IFERROR(Tabela_dados_base[[#This Row],[Clicks redes sociais]]/Tabela_dados_base[[#This Row],[Total de Clicks]],"")</f>
        <v>1</v>
      </c>
      <c r="P356" s="6">
        <f>Tabela_dados_base[[#This Row],[Total de Clicks]]/Tabela_dados_base[[#This Row],[Visualizações]]</f>
        <v>0.21212121212121213</v>
      </c>
      <c r="Q356" s="5">
        <f>Tabela_dados_base[[#This Row],[Vezes pesquisados]]/Tabela_dados_base[[#This Row],[Visualizações]]</f>
        <v>3.787878787878788E-2</v>
      </c>
      <c r="R356" s="5">
        <f>Tabela_dados_base[[#This Row],[Visitas Diretas]]/Tabela_dados_base[[#This Row],[Visualizações]]</f>
        <v>8.3333333333333329E-2</v>
      </c>
    </row>
    <row r="357" spans="1:18" x14ac:dyDescent="0.2">
      <c r="A357" t="s">
        <v>18</v>
      </c>
      <c r="B357" t="s">
        <v>19</v>
      </c>
      <c r="C357" t="s">
        <v>20</v>
      </c>
      <c r="D357">
        <v>1047</v>
      </c>
      <c r="E357" s="1">
        <v>44529</v>
      </c>
      <c r="F357" s="2">
        <v>7</v>
      </c>
      <c r="G357" s="2">
        <v>11</v>
      </c>
      <c r="H357" s="2">
        <v>0</v>
      </c>
      <c r="I357" s="2">
        <v>184</v>
      </c>
      <c r="J357" s="2">
        <v>17</v>
      </c>
      <c r="K357" s="2">
        <v>3</v>
      </c>
      <c r="L357" s="2">
        <v>105</v>
      </c>
      <c r="M357" s="2">
        <f>Tabela_dados_base[[#This Row],[Clicks pagos]]+Tabela_dados_base[[#This Row],[Clicks redes sociais]]</f>
        <v>17</v>
      </c>
      <c r="N357" s="5">
        <f>IFERROR(Tabela_dados_base[[#This Row],[Clicks pagos]]/Tabela_dados_base[[#This Row],[Total de Clicks]],"")</f>
        <v>0</v>
      </c>
      <c r="O357" s="5">
        <f>IFERROR(Tabela_dados_base[[#This Row],[Clicks redes sociais]]/Tabela_dados_base[[#This Row],[Total de Clicks]],"")</f>
        <v>1</v>
      </c>
      <c r="P357" s="6">
        <f>Tabela_dados_base[[#This Row],[Total de Clicks]]/Tabela_dados_base[[#This Row],[Visualizações]]</f>
        <v>0.16190476190476191</v>
      </c>
      <c r="Q357" s="5">
        <f>Tabela_dados_base[[#This Row],[Vezes pesquisados]]/Tabela_dados_base[[#This Row],[Visualizações]]</f>
        <v>2.8571428571428571E-2</v>
      </c>
      <c r="R357" s="5">
        <f>Tabela_dados_base[[#This Row],[Visitas Diretas]]/Tabela_dados_base[[#This Row],[Visualizações]]</f>
        <v>6.6666666666666666E-2</v>
      </c>
    </row>
    <row r="358" spans="1:18" x14ac:dyDescent="0.2">
      <c r="A358" t="s">
        <v>21</v>
      </c>
      <c r="F358" s="3">
        <f>SUBTOTAL(109,Tabela_dados_base[Visitas Diretas])</f>
        <v>163895</v>
      </c>
      <c r="G358" s="3">
        <f>SUBTOTAL(109,Tabela_dados_base[Novos usuários únicos])</f>
        <v>262228</v>
      </c>
      <c r="H358" s="3">
        <f>SUBTOTAL(109,Tabela_dados_base[Clicks pagos])</f>
        <v>1413</v>
      </c>
      <c r="I358" s="3">
        <f>SUBTOTAL(101,Tabela_dados_base[Tempo de leitura (minutos)])</f>
        <v>6194.6460674157306</v>
      </c>
      <c r="J358" s="3">
        <f>SUBTOTAL(109,Tabela_dados_base[Clicks redes sociais])</f>
        <v>426119</v>
      </c>
      <c r="K358" s="3">
        <f>SUBTOTAL(109,Tabela_dados_base[Vezes pesquisados])</f>
        <v>73756</v>
      </c>
      <c r="L358" s="2">
        <f>SUBTOTAL(109,Tabela_dados_base[Visualizações])</f>
        <v>836490</v>
      </c>
      <c r="M358" s="2">
        <f>SUBTOTAL(109,Tabela_dados_base[Total de Clicks])</f>
        <v>427532</v>
      </c>
      <c r="N358" s="7">
        <f>Tabela_dados_base[[#Totals],[Clicks pagos]]/Tabela_dados_base[[#Totals],[Total de Clicks]]</f>
        <v>3.3050157649018087E-3</v>
      </c>
      <c r="O358" s="5">
        <f>Tabela_dados_base[[#Totals],[Clicks redes sociais]]/Tabela_dados_base[[#Totals],[Total de Clicks]]</f>
        <v>0.99669498423509817</v>
      </c>
      <c r="P358" s="5">
        <f>Tabela_dados_base[[#Totals],[Total de Clicks]]/Tabela_dados_base[[#Totals],[Visualizações]]</f>
        <v>0.51110234431971691</v>
      </c>
      <c r="Q358" s="4"/>
      <c r="R358" s="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9C37F7-95A9-AF45-A0B3-28FF1849A4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Dashboard</vt:lpstr>
      <vt:lpstr>Cards</vt:lpstr>
      <vt:lpstr>Novos_Usuários</vt:lpstr>
      <vt:lpstr>Tempo_Leitura</vt:lpstr>
      <vt:lpstr>dados_base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Gurgel Moraes Bernardes</dc:creator>
  <cp:lastModifiedBy>Bruno Gurgel Moraes Bernardes</cp:lastModifiedBy>
  <dcterms:created xsi:type="dcterms:W3CDTF">2023-05-22T12:44:39Z</dcterms:created>
  <dcterms:modified xsi:type="dcterms:W3CDTF">2023-05-22T19:24:28Z</dcterms:modified>
</cp:coreProperties>
</file>